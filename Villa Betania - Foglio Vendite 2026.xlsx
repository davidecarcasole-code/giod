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%Accettato" sheetId="1" r:id="rId5"/>
    <sheet state="visible" name="CONSUNTIVO" sheetId="2" r:id="rId6"/>
    <sheet state="visible" name="OPPORTUNITA DI VENDITA" sheetId="3" r:id="rId7"/>
    <sheet state="visible" name="GENNAIO" sheetId="4" r:id="rId8"/>
    <sheet state="visible" name="FEBBRAIO" sheetId="5" r:id="rId9"/>
    <sheet state="visible" name="MARZO" sheetId="6" r:id="rId10"/>
    <sheet state="visible" name="APRILE" sheetId="7" r:id="rId11"/>
    <sheet state="visible" name="MAGGIO" sheetId="8" r:id="rId12"/>
    <sheet state="visible" name="GIUGNO" sheetId="9" r:id="rId13"/>
    <sheet state="visible" name="LUGLIO" sheetId="10" r:id="rId14"/>
    <sheet state="visible" name="AGOSTO" sheetId="11" r:id="rId15"/>
    <sheet state="visible" name="SETTEMBRE" sheetId="12" r:id="rId16"/>
    <sheet state="visible" name="OTTOBRE" sheetId="13" r:id="rId17"/>
    <sheet state="visible" name="NOVEMBRE" sheetId="14" r:id="rId18"/>
    <sheet state="visible" name="DICEMBRE" sheetId="15" r:id="rId19"/>
    <sheet state="visible" name="PREVISIONI INCASSO" sheetId="16" r:id="rId20"/>
    <sheet state="visible" name="OBIETTIVI 2026" sheetId="17" r:id="rId21"/>
    <sheet state="visible" name="Elenco Dip Sedi" sheetId="18" r:id="rId22"/>
  </sheets>
  <definedNames/>
  <calcPr/>
</workbook>
</file>

<file path=xl/sharedStrings.xml><?xml version="1.0" encoding="utf-8"?>
<sst xmlns="http://schemas.openxmlformats.org/spreadsheetml/2006/main" count="3102" uniqueCount="537">
  <si>
    <t>MESE</t>
  </si>
  <si>
    <t>POSITIVI</t>
  </si>
  <si>
    <t>NEGATIVI</t>
  </si>
  <si>
    <t>% Accettato</t>
  </si>
  <si>
    <t>% Non Accettato</t>
  </si>
  <si>
    <t>OPPORTUNITA' DI VENDITA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</si>
  <si>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</si>
  <si>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</si>
  <si>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</si>
  <si>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</si>
  <si>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</si>
  <si>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</si>
  <si>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</si>
  <si>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</si>
  <si>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</si>
  <si>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</si>
  <si>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</si>
  <si>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</si>
  <si>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nb. questo è un foglio dedicato al controllo, si prega di non modificare gli importi che sono generati automaticamente da formule incrociate.</t>
  </si>
  <si>
    <t>Consuntivo Annuale</t>
  </si>
  <si>
    <t>Opp.tà di Vendita</t>
  </si>
  <si>
    <t>Colonna 2</t>
  </si>
  <si>
    <t>Preventivato Mese ACCETTATO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</si>
  <si>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</si>
  <si>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</si>
  <si>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</si>
  <si>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</si>
  <si>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</si>
  <si>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</si>
  <si>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</si>
  <si>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</si>
  <si>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</si>
  <si>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</si>
  <si>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</si>
  <si>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</si>
  <si>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TOTALE</t>
  </si>
  <si>
    <t>,,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</si>
  <si>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</si>
  <si>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</si>
  <si>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</si>
  <si>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</si>
  <si>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</si>
  <si>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</si>
  <si>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</si>
  <si>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</si>
  <si>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</si>
  <si>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</si>
  <si>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</si>
  <si>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</si>
  <si>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DOMENICI</t>
  </si>
  <si>
    <t>AMOROSO</t>
  </si>
  <si>
    <t>INNOCENTE</t>
  </si>
  <si>
    <t>BERARDI</t>
  </si>
  <si>
    <t>BERNARDINI</t>
  </si>
  <si>
    <t>MASTRORILLI</t>
  </si>
  <si>
    <t xml:space="preserve">CARDONE </t>
  </si>
  <si>
    <t xml:space="preserve">MARCANTONI </t>
  </si>
  <si>
    <t xml:space="preserve">MIRACOLO </t>
  </si>
  <si>
    <t>MAZZELLI</t>
  </si>
  <si>
    <t xml:space="preserve">GAGLIARDI </t>
  </si>
  <si>
    <t>Tot.Anno---&gt;</t>
  </si>
  <si>
    <t>Tot.Mese---&gt;</t>
  </si>
  <si>
    <t>&lt;---Tot.Accettato Complessivo</t>
  </si>
  <si>
    <t>Preventivato Mese RIFIUTATO</t>
  </si>
  <si>
    <t>&lt;---Tot.Rifiutato Complessivo</t>
  </si>
  <si>
    <t>Percentuale Generale | Delta</t>
  </si>
  <si>
    <t>CLINICA GioDental</t>
  </si>
  <si>
    <t>VILLA BETANIA</t>
  </si>
  <si>
    <t>ANNO RIF.</t>
  </si>
  <si>
    <t>Esito/Stato</t>
  </si>
  <si>
    <t>Data</t>
  </si>
  <si>
    <t>Consulente</t>
  </si>
  <si>
    <t>Paziente</t>
  </si>
  <si>
    <t>Proveniente</t>
  </si>
  <si>
    <t>Gender</t>
  </si>
  <si>
    <t>Assegnazione/Medico</t>
  </si>
  <si>
    <t>Importo</t>
  </si>
  <si>
    <t>Importo accettato</t>
  </si>
  <si>
    <t>Data Vautazione</t>
  </si>
  <si>
    <t>Anticipo</t>
  </si>
  <si>
    <t>Mod.Pagamento</t>
  </si>
  <si>
    <t>Data App.</t>
  </si>
  <si>
    <t xml:space="preserve">NOTE </t>
  </si>
  <si>
    <t>Anno 2024</t>
  </si>
  <si>
    <t>Tot. ANNO</t>
  </si>
  <si>
    <t>Anno 2025</t>
  </si>
  <si>
    <t>Anno in corso</t>
  </si>
  <si>
    <t>ESEGUITO</t>
  </si>
  <si>
    <t>PLACIDI C</t>
  </si>
  <si>
    <t>URGENZA</t>
  </si>
  <si>
    <t>F</t>
  </si>
  <si>
    <t>CARICO ASSIC-NE</t>
  </si>
  <si>
    <t>BAZZUCCHI M</t>
  </si>
  <si>
    <t>BONIFICO</t>
  </si>
  <si>
    <t>DE FRANCESO C</t>
  </si>
  <si>
    <t>AMPLIAMENTO</t>
  </si>
  <si>
    <t>M</t>
  </si>
  <si>
    <t>PAGODIL</t>
  </si>
  <si>
    <t>11/0/2026</t>
  </si>
  <si>
    <t>CHIAPPONE G</t>
  </si>
  <si>
    <t xml:space="preserve">RIVALUTAZIONE </t>
  </si>
  <si>
    <t>3 TRANCHES</t>
  </si>
  <si>
    <t>DEL SORDO V</t>
  </si>
  <si>
    <t>CONSULENTI COMMERCIALI</t>
  </si>
  <si>
    <t>OBIETTIVO</t>
  </si>
  <si>
    <t>Tot. Foglio Mese</t>
  </si>
  <si>
    <t>Tot. Complessivo</t>
  </si>
  <si>
    <t>Data Valutazione</t>
  </si>
  <si>
    <t>NESSUNA VENDITA</t>
  </si>
  <si>
    <t>MAFFEI R</t>
  </si>
  <si>
    <t>TOTEM</t>
  </si>
  <si>
    <t xml:space="preserve">CI VUOLE PENSARE </t>
  </si>
  <si>
    <t>GORINI F</t>
  </si>
  <si>
    <t>INTERNET</t>
  </si>
  <si>
    <t>CI VUOLE PENSARE STA VALUTANDO VARI PREVENTIVI</t>
  </si>
  <si>
    <t>TENO P</t>
  </si>
  <si>
    <t>NON FINANZIABILE DEVE CHIEDERE AL NIPOTE SE FA DA GARANTE</t>
  </si>
  <si>
    <t>MUNGIGUERRA D</t>
  </si>
  <si>
    <t>PVT DOMENICI</t>
  </si>
  <si>
    <t>UNICO</t>
  </si>
  <si>
    <t>ANNULLA L'APPUNTAMENTO E NON RIFISSA</t>
  </si>
  <si>
    <t>INZIA IL TRATTAMENTO-VENDITA</t>
  </si>
  <si>
    <t>SETTEMBRINI L</t>
  </si>
  <si>
    <t>HUB SPOKE</t>
  </si>
  <si>
    <t>PAZIENTE SANO</t>
  </si>
  <si>
    <t>FORTI F</t>
  </si>
  <si>
    <t>PVT AMOROSO</t>
  </si>
  <si>
    <t>RUIA A</t>
  </si>
  <si>
    <t>PASSAPAROLA</t>
  </si>
  <si>
    <t>VENNERI D</t>
  </si>
  <si>
    <t>CASTELLANI T</t>
  </si>
  <si>
    <t>parla con il papà per il discorso economico e ci fa sapere</t>
  </si>
  <si>
    <t>PRECIUTTI S</t>
  </si>
  <si>
    <t>NON VUOLE FARLO DICE CHE IL COSTO E' TROPPO ALTO</t>
  </si>
  <si>
    <t>PERROTTA A</t>
  </si>
  <si>
    <t>DIPENDENTE</t>
  </si>
  <si>
    <t>LISI A</t>
  </si>
  <si>
    <t>SABATINI G</t>
  </si>
  <si>
    <t>SPADONI M</t>
  </si>
  <si>
    <t>DI CLEMENTE A</t>
  </si>
  <si>
    <t>COLLINI I</t>
  </si>
  <si>
    <t>ABT E COLLETTI  - VIENE A FARE CONSULTO ORTO E FISSA APP PER CONSERVATIVA - FATTA RIV ORTO COSTO TROPPO ALTO NON VUOLE FARLO</t>
  </si>
  <si>
    <t>QUILLARES ALVARADO M</t>
  </si>
  <si>
    <t>DIAFOUCKA Y</t>
  </si>
  <si>
    <t>ACC. + DILAZIONE</t>
  </si>
  <si>
    <t>GARUGLIERI L</t>
  </si>
  <si>
    <t>CUP</t>
  </si>
  <si>
    <t>pz disoccupata non finanziabile si deve organizzare su come pagare e ci fa sapere</t>
  </si>
  <si>
    <t>GASTALDI E</t>
  </si>
  <si>
    <t>Pz molto anziano, non vuole fare nulla e non permette il completamento della visita</t>
  </si>
  <si>
    <t>KOBELIA O</t>
  </si>
  <si>
    <t>DUARTE F</t>
  </si>
  <si>
    <t>DUO' A</t>
  </si>
  <si>
    <t>MANUKIAN A</t>
  </si>
  <si>
    <t>INTERNATIONAL CARE</t>
  </si>
  <si>
    <t>MASTRIRILLI</t>
  </si>
  <si>
    <t>SMARRA L</t>
  </si>
  <si>
    <t>BRUNO G</t>
  </si>
  <si>
    <t>2 TRANCHES</t>
  </si>
  <si>
    <t>GARELLA L</t>
  </si>
  <si>
    <t>DE ANGELIS C</t>
  </si>
  <si>
    <t>TREDICI G</t>
  </si>
  <si>
    <t>TREDICI D</t>
  </si>
  <si>
    <t>ZANNI G</t>
  </si>
  <si>
    <t>PALMA G</t>
  </si>
  <si>
    <t>parla con la sua assicurazione e ci fa sapere</t>
  </si>
  <si>
    <t>ROSCANI D</t>
  </si>
  <si>
    <t>CI DEVE PENSARE - non vuole fare il lavoro perché fatto di recente da altro dentista. Torna dal suo dentista per farlo in garanzia</t>
  </si>
  <si>
    <t>GUARINI M</t>
  </si>
  <si>
    <t>PIERBATTISTA V</t>
  </si>
  <si>
    <t>LAVRENKO S</t>
  </si>
  <si>
    <t>MAIONE F</t>
  </si>
  <si>
    <t>CI VUOLE PENSARE - STA VALUTANDO ALTRI PREVENTIVI</t>
  </si>
  <si>
    <t>STOIAN C</t>
  </si>
  <si>
    <t>OFFIDANI R</t>
  </si>
  <si>
    <t>TATULLI G</t>
  </si>
  <si>
    <t>DEVE ESTRARRE 38, VUOLE PRIMA PROVARE CON ANTIBIOTICO - SE IL DOLORE NON LE PASSA VERRA' A FARE L'ESTRAZIONE</t>
  </si>
  <si>
    <t>DI TROCCHIO M</t>
  </si>
  <si>
    <t>BORZI S</t>
  </si>
  <si>
    <t>non vuole fare il lavoro</t>
  </si>
  <si>
    <t>COGONI M</t>
  </si>
  <si>
    <t>non vuole fare nulla</t>
  </si>
  <si>
    <t>DOS SANTOS M</t>
  </si>
  <si>
    <t>DILAZIONATO</t>
  </si>
  <si>
    <t>LAWNICZAK R</t>
  </si>
  <si>
    <t>BONACCI P</t>
  </si>
  <si>
    <t>PREZIUSO D</t>
  </si>
  <si>
    <t>BOCCA SANA - BIMBO DI 3 ANNI RIMANDATO A CONTROLLO TRA 6 MESI</t>
  </si>
  <si>
    <t>SPICCIARIELLO S</t>
  </si>
  <si>
    <t>CESARI R</t>
  </si>
  <si>
    <t>Deve parlare con il dentista che le ha fatto il precedente lavoro</t>
  </si>
  <si>
    <t>MASLOWSKI E</t>
  </si>
  <si>
    <t>BERARDI C</t>
  </si>
  <si>
    <t>deve estrarre i denti del giudizio inferiori</t>
  </si>
  <si>
    <t>GIORGI L</t>
  </si>
  <si>
    <t>a PRESTAZIONE</t>
  </si>
  <si>
    <t>fatto controllo, si rimanda a visita con pedodontista</t>
  </si>
  <si>
    <t>CIARAMBINO C</t>
  </si>
  <si>
    <t>NIGRO P</t>
  </si>
  <si>
    <t>CASTIGLIONE A</t>
  </si>
  <si>
    <t>ZANATTA A</t>
  </si>
  <si>
    <t>Contattati da NH hotel accanto VB per urgenza di un loro cliente</t>
  </si>
  <si>
    <t>FIORE C</t>
  </si>
  <si>
    <t>EXT 18-48 + OTT 47</t>
  </si>
  <si>
    <t>ONOFREI A</t>
  </si>
  <si>
    <t>MARTINI A</t>
  </si>
  <si>
    <t>NON VUOLE FARE NULLA</t>
  </si>
  <si>
    <t>BOTTICELLLI L</t>
  </si>
  <si>
    <t>COLLORAFICI F</t>
  </si>
  <si>
    <t>TARIFFA MYASSISTANCE - deve sentire la sua assicurazione quanto copre</t>
  </si>
  <si>
    <t>MARTINO D</t>
  </si>
  <si>
    <t>SALANDINI M</t>
  </si>
  <si>
    <t>MARCOLINI M</t>
  </si>
  <si>
    <t>per il momento fa solo ext ed ott, per l'apparecchio ci vuole pensare</t>
  </si>
  <si>
    <t>IZZO S</t>
  </si>
  <si>
    <t>MORETTI D</t>
  </si>
  <si>
    <t>INVISALIGN - PER IL MOMENTO NON VUOLE FARLO</t>
  </si>
  <si>
    <t>TOCCI A</t>
  </si>
  <si>
    <t>ABENANTE B</t>
  </si>
  <si>
    <t>ci deve riflettere</t>
  </si>
  <si>
    <t>GABURA A</t>
  </si>
  <si>
    <t>SAVIGLIANO G</t>
  </si>
  <si>
    <t>GENCO C</t>
  </si>
  <si>
    <t>COSTANTINI L</t>
  </si>
  <si>
    <t>FERRARI F</t>
  </si>
  <si>
    <t>TORANO A</t>
  </si>
  <si>
    <t>MONACO F</t>
  </si>
  <si>
    <t xml:space="preserve">FAMIGLIA </t>
  </si>
  <si>
    <t>CATALANO S</t>
  </si>
  <si>
    <t>VINCENZI N</t>
  </si>
  <si>
    <t>KALB S</t>
  </si>
  <si>
    <t>SUNNY L</t>
  </si>
  <si>
    <t>DELLO SCHIAVO T</t>
  </si>
  <si>
    <t>VISTA IN URGENZA INVIATA A DOMENICI PER COMPLETAMENTO VISITA</t>
  </si>
  <si>
    <t>RICHIAMERA' / RICHIAMARE</t>
  </si>
  <si>
    <t>AMASIO V</t>
  </si>
  <si>
    <t>Pz in stato di gravidanza al settimo mese, faraà le estrazioni dopo aver partorito</t>
  </si>
  <si>
    <t>DI PAOLA S</t>
  </si>
  <si>
    <t>BONDANI A</t>
  </si>
  <si>
    <t>SUBOTENKO T</t>
  </si>
  <si>
    <t>PASSERI G</t>
  </si>
  <si>
    <t>SATIRA C</t>
  </si>
  <si>
    <t>GIRAFFA M</t>
  </si>
  <si>
    <t>pz non vuole fare opt, dice che preferisce andare al Cristo Re perché più vicino a casa sua</t>
  </si>
  <si>
    <t>MELE M</t>
  </si>
  <si>
    <t>AO4 SUP - PZ NON FINANZIABILE</t>
  </si>
  <si>
    <t>STIRCU A</t>
  </si>
  <si>
    <t>PERNICE A</t>
  </si>
  <si>
    <t>Ha il suo dentista, voleva solo un secondo parere</t>
  </si>
  <si>
    <t>NOCENTINI L</t>
  </si>
  <si>
    <t>LUPO E</t>
  </si>
  <si>
    <t>GALAZKA A</t>
  </si>
  <si>
    <t>DE VITA D</t>
  </si>
  <si>
    <t>si deve organizzare e ci farà sapere</t>
  </si>
  <si>
    <t>SCATOLINI S</t>
  </si>
  <si>
    <t>RINALDI S</t>
  </si>
  <si>
    <t>CARICE G</t>
  </si>
  <si>
    <t>PALOMBI D</t>
  </si>
  <si>
    <t>DI BIAGGIO S</t>
  </si>
  <si>
    <t xml:space="preserve">Si organizza con il lavoro e ci fa sapere </t>
  </si>
  <si>
    <t>ARDITI D</t>
  </si>
  <si>
    <t>DE FACENDIS L</t>
  </si>
  <si>
    <t>SAVINO V</t>
  </si>
  <si>
    <t>REINA G</t>
  </si>
  <si>
    <t>TANCIONI R</t>
  </si>
  <si>
    <t>SCHIPPER T</t>
  </si>
  <si>
    <t>PZ INTERNATIONAL CARE</t>
  </si>
  <si>
    <t>GERARDI C</t>
  </si>
  <si>
    <t>TREBISONDI G</t>
  </si>
  <si>
    <t>DAMIA L</t>
  </si>
  <si>
    <t>ci pesna - non vuole fare nulla</t>
  </si>
  <si>
    <t>DUARTE A</t>
  </si>
  <si>
    <t>CORINALDESI L</t>
  </si>
  <si>
    <t>Si attende risposta da parte dell'assicurazione - L'ASSICURAZIONE NON LE COPRE LE SPESE</t>
  </si>
  <si>
    <t>CORSINI SCORPIONI A</t>
  </si>
  <si>
    <t>BELLUMORI U</t>
  </si>
  <si>
    <t>PETTINARI M</t>
  </si>
  <si>
    <t>deve rimuovere 3 impianti ma rimarrebbe senza denti nell'arcata sup, parla con il dentista che l'ha mandata qui per farsi fare una protesi totale prima della rimozione degli impianti e ci farà sapere quando procedere con l'intervento</t>
  </si>
  <si>
    <t>AMARA A</t>
  </si>
  <si>
    <t>PANELLA F</t>
  </si>
  <si>
    <t>FINOCCHIARO A</t>
  </si>
  <si>
    <t>DASCOLA F</t>
  </si>
  <si>
    <t>Attende risposta dalla sua assicurazione (MyAssistance) e ci fa sapere</t>
  </si>
  <si>
    <t>TROIA P</t>
  </si>
  <si>
    <t>BARONE M</t>
  </si>
  <si>
    <t>ci riflette - per il momento vuole fare solo l'otturazione</t>
  </si>
  <si>
    <t>NAPOLITANO E</t>
  </si>
  <si>
    <t>La mamma è dipendente VB, si organizza con i turni e ci chiama per fissare app ad Aprile - ANNULLA E' STATO VISTO DA UN ALTRO DENTISTA CHE GLI HA DETTO CHE LA CARIE NON C'E</t>
  </si>
  <si>
    <t>ROSUELO G</t>
  </si>
  <si>
    <t>TIRABASSI A</t>
  </si>
  <si>
    <t>FRISONI R</t>
  </si>
  <si>
    <t>ROMEI E</t>
  </si>
  <si>
    <t>Annulla l'appuntamento per inizio cure e non rifissa</t>
  </si>
  <si>
    <t>ARISTOTILE F</t>
  </si>
  <si>
    <t>Deve chiedere alla sua assicurazione se ha rimborso</t>
  </si>
  <si>
    <t>ARISTOTILE L</t>
  </si>
  <si>
    <t>PERROTTA L</t>
  </si>
  <si>
    <t>MASCIA G</t>
  </si>
  <si>
    <t>GALASSO M</t>
  </si>
  <si>
    <t>GALASSO E</t>
  </si>
  <si>
    <t>CANDIDO O</t>
  </si>
  <si>
    <t>Si deve organizzare con i turni e chiamerà per fissare app</t>
  </si>
  <si>
    <t>VOLCHOK N</t>
  </si>
  <si>
    <t>MUZZI L</t>
  </si>
  <si>
    <t>CICGLIANA S</t>
  </si>
  <si>
    <t>RANALDI E</t>
  </si>
  <si>
    <t>Non lo farà, la mamma non vuole</t>
  </si>
  <si>
    <t>GUASTELLA F</t>
  </si>
  <si>
    <t>MEDROS A</t>
  </si>
  <si>
    <t>SALVATORI C</t>
  </si>
  <si>
    <t>Ci riflette - NON VUOLE FARE L'APPARECCHIO</t>
  </si>
  <si>
    <t>CRUCIANI M</t>
  </si>
  <si>
    <t>BAGHI J</t>
  </si>
  <si>
    <t>ext 4 ottavi - si organizza con il lavoro e fissa app</t>
  </si>
  <si>
    <t>CENTURIONI M</t>
  </si>
  <si>
    <t>JOSEPH MYLADOOR N</t>
  </si>
  <si>
    <t>AGOSTINI M</t>
  </si>
  <si>
    <t>Deve avere autorizzazione dal fondo assicurativo</t>
  </si>
  <si>
    <t>PINTRIJEL M</t>
  </si>
  <si>
    <t>SY J</t>
  </si>
  <si>
    <t>JANISZEWSKI U</t>
  </si>
  <si>
    <t>AMBROSETTI S</t>
  </si>
  <si>
    <t>pz edentula prende bifosfonati, ha protesi mobile che va ribasata</t>
  </si>
  <si>
    <t>FORASTIERI D</t>
  </si>
  <si>
    <t>Si organizza con il lavoro e ci chiama per fissare app - chiama per dire che non vuole fare nulla</t>
  </si>
  <si>
    <t>BELLOTTO B</t>
  </si>
  <si>
    <t>COLETTI R</t>
  </si>
  <si>
    <t>TANNI S</t>
  </si>
  <si>
    <t>GIACOMODONATO M</t>
  </si>
  <si>
    <t>MANCINI G</t>
  </si>
  <si>
    <t>SANTORO I</t>
  </si>
  <si>
    <t>GROCEANU COLTEA A</t>
  </si>
  <si>
    <t>non finanziabile, ci pensa e ci fa sapere</t>
  </si>
  <si>
    <t>LUJAN VELASQUE K</t>
  </si>
  <si>
    <t>Non finanziabile, prova a trovare un garante e ci fa sapere</t>
  </si>
  <si>
    <t>LOMBARDI B</t>
  </si>
  <si>
    <t>VIVE A SALERNO</t>
  </si>
  <si>
    <t>MESCHINI A</t>
  </si>
  <si>
    <t>accompagnato dalla mamma, deve chiedere consenso al papà in quanto genitori separati</t>
  </si>
  <si>
    <t>GIRELLI G</t>
  </si>
  <si>
    <t>GARGANI T</t>
  </si>
  <si>
    <t>Pz non finanziabile, non è passato il pagodil, parla con la mamma per fare da garante</t>
  </si>
  <si>
    <t>GARGANI G</t>
  </si>
  <si>
    <t>ROMANELLI G</t>
  </si>
  <si>
    <t>PREV PER INVISALING - VUOLE INIZIARE A SETTEMBRE</t>
  </si>
  <si>
    <t>MONTECOLLI L</t>
  </si>
  <si>
    <t>DE VENUTI C</t>
  </si>
  <si>
    <t>BALDI M</t>
  </si>
  <si>
    <t>GORINI L</t>
  </si>
  <si>
    <t>Annulla l'appuntamento del 29/04 e non rifissa</t>
  </si>
  <si>
    <t>CACACE R</t>
  </si>
  <si>
    <t>ANTONELLI L</t>
  </si>
  <si>
    <t>ANTONELLI E</t>
  </si>
  <si>
    <t>D'AMBROSIO D</t>
  </si>
  <si>
    <t>NEGRI A</t>
  </si>
  <si>
    <t>CI RIFLETTE</t>
  </si>
  <si>
    <t>D'ELIA F</t>
  </si>
  <si>
    <t>CASINI A</t>
  </si>
  <si>
    <t>Ci deve riflettere, preventivo molto alto, proposto anche step alternativo, per il momento non accetta</t>
  </si>
  <si>
    <t>RICCI M</t>
  </si>
  <si>
    <t>CATALANO J</t>
  </si>
  <si>
    <t>SALVEMME G</t>
  </si>
  <si>
    <t>SOCIAL</t>
  </si>
  <si>
    <t>BILOTTI L</t>
  </si>
  <si>
    <t>GIUNTA T</t>
  </si>
  <si>
    <t>ANNICCHIARO L</t>
  </si>
  <si>
    <t>CUCCARO E</t>
  </si>
  <si>
    <t>RUTILI M</t>
  </si>
  <si>
    <t>GONZALEZ TORRES J</t>
  </si>
  <si>
    <t>BENFATTI D</t>
  </si>
  <si>
    <t>STIRPE J</t>
  </si>
  <si>
    <t xml:space="preserve">DI PASSAGGIO </t>
  </si>
  <si>
    <t>SCARANO A</t>
  </si>
  <si>
    <t>CIUFOLETTI CL</t>
  </si>
  <si>
    <t>CIUFOLETTI CR</t>
  </si>
  <si>
    <t>ZAKI H</t>
  </si>
  <si>
    <t>PZ NON FINANZIABILE</t>
  </si>
  <si>
    <t>D'AMBROSIO G</t>
  </si>
  <si>
    <t>D'AMBROSIO A</t>
  </si>
  <si>
    <t>NIKOLOVA M</t>
  </si>
  <si>
    <t>ANGELINI M</t>
  </si>
  <si>
    <t>MONGELLI R</t>
  </si>
  <si>
    <t>ROSSETTI D</t>
  </si>
  <si>
    <t>TUDOR E</t>
  </si>
  <si>
    <t>CONCATO A</t>
  </si>
  <si>
    <t>CASTAGNA M</t>
  </si>
  <si>
    <t>BAUDAZZI E</t>
  </si>
  <si>
    <t>CAVARICCI M</t>
  </si>
  <si>
    <t>PETROZZIELLO C</t>
  </si>
  <si>
    <t>CASTILLO M</t>
  </si>
  <si>
    <t>07/05/0206</t>
  </si>
  <si>
    <t>DIAFOUKA G</t>
  </si>
  <si>
    <t>SPANO' M</t>
  </si>
  <si>
    <t>KULYK OK</t>
  </si>
  <si>
    <t>NATALUCCI T</t>
  </si>
  <si>
    <t>GOMEZ ROSAS O</t>
  </si>
  <si>
    <t>FOSSATI A</t>
  </si>
  <si>
    <t>PVT FLORIO</t>
  </si>
  <si>
    <t>FLORIO</t>
  </si>
  <si>
    <t>KULYK OL</t>
  </si>
  <si>
    <t>MBAIHORNOM J</t>
  </si>
  <si>
    <t>MILONE G</t>
  </si>
  <si>
    <t>SPURIO T</t>
  </si>
  <si>
    <t>ROSSETTI S</t>
  </si>
  <si>
    <t>PEDICO A</t>
  </si>
  <si>
    <t>WOJCIK A</t>
  </si>
  <si>
    <t>ELEUTERI A</t>
  </si>
  <si>
    <t>FRANCESCONI G</t>
  </si>
  <si>
    <t>KUCHER S</t>
  </si>
  <si>
    <t>COLLARO R</t>
  </si>
  <si>
    <t>LORENZETTI F</t>
  </si>
  <si>
    <t>MONETA V</t>
  </si>
  <si>
    <t>RANAWEERA ARACHCHILAGE T</t>
  </si>
  <si>
    <t>ROCHA T</t>
  </si>
  <si>
    <t>DE LEO A</t>
  </si>
  <si>
    <t>TERROSI S</t>
  </si>
  <si>
    <t>PITORRI M</t>
  </si>
  <si>
    <t>FERRI F</t>
  </si>
  <si>
    <t>MACCHINI P</t>
  </si>
  <si>
    <t>CANTINI A</t>
  </si>
  <si>
    <t>Pz non finanziabile, non può fare il lavoro</t>
  </si>
  <si>
    <t>D'ELIA S</t>
  </si>
  <si>
    <t>MELUZIO P</t>
  </si>
  <si>
    <t>MARI V</t>
  </si>
  <si>
    <t>SAMPIERI</t>
  </si>
  <si>
    <t>VANINI V</t>
  </si>
  <si>
    <t>PISCOPO C</t>
  </si>
  <si>
    <t>LEPRE P</t>
  </si>
  <si>
    <t>APA E</t>
  </si>
  <si>
    <t>MONTEDURO M</t>
  </si>
  <si>
    <t>ROSCI B</t>
  </si>
  <si>
    <t>BROCANI M</t>
  </si>
  <si>
    <t>PVT MAZZELLI</t>
  </si>
  <si>
    <t>VANNOZZI V</t>
  </si>
  <si>
    <t>CECCHINI E</t>
  </si>
  <si>
    <t>VIGLIETTI E</t>
  </si>
  <si>
    <t>GIORGETTI A</t>
  </si>
  <si>
    <t>RODRIGUEZ M</t>
  </si>
  <si>
    <t>w</t>
  </si>
  <si>
    <t>BALMAS A</t>
  </si>
  <si>
    <t>GARCIA ACEVEDO M</t>
  </si>
  <si>
    <t>MOSCONI T</t>
  </si>
  <si>
    <t>MOSCONI C</t>
  </si>
  <si>
    <t>TOCCACELI A</t>
  </si>
  <si>
    <t>RUGGIERI L</t>
  </si>
  <si>
    <t>CONTI A</t>
  </si>
  <si>
    <t>FANI M</t>
  </si>
  <si>
    <t>BARLETTA L</t>
  </si>
  <si>
    <t>DEL VECCHIO F</t>
  </si>
  <si>
    <t>MERLO E</t>
  </si>
  <si>
    <t>MERLINI M</t>
  </si>
  <si>
    <t>PALA L</t>
  </si>
  <si>
    <t>INSOGNA M</t>
  </si>
  <si>
    <t>CALICCHIA A</t>
  </si>
  <si>
    <t>MARINUCCI R</t>
  </si>
  <si>
    <t>ALES M</t>
  </si>
  <si>
    <t>TRIPI L</t>
  </si>
  <si>
    <t>PVT CARDONE</t>
  </si>
  <si>
    <t>NAZZARO G</t>
  </si>
  <si>
    <t>MARANO F</t>
  </si>
  <si>
    <t>TULCHHINETSKAYA D</t>
  </si>
  <si>
    <t>GRASSI E</t>
  </si>
  <si>
    <t>CATALANO M</t>
  </si>
  <si>
    <t>SPAGNOLI M</t>
  </si>
  <si>
    <t>STAFFIERO A</t>
  </si>
  <si>
    <t>RAHMANIAN J</t>
  </si>
  <si>
    <t>OROBELLO P</t>
  </si>
  <si>
    <t>LUCARELLI R</t>
  </si>
  <si>
    <t> </t>
  </si>
  <si>
    <t>DATA VISITA</t>
  </si>
  <si>
    <t>PAZIENTE</t>
  </si>
  <si>
    <t>TOT. €</t>
  </si>
  <si>
    <t>MODALITA' DI PAG.</t>
  </si>
  <si>
    <t>CONFERMATO</t>
  </si>
  <si>
    <t>Aprile</t>
  </si>
  <si>
    <t>Totale Mese</t>
  </si>
  <si>
    <t>Maggio</t>
  </si>
  <si>
    <t>MAZZA S</t>
  </si>
  <si>
    <t>INGEGNERI V</t>
  </si>
  <si>
    <t xml:space="preserve">MELCHIONDA </t>
  </si>
  <si>
    <t>GALANTE D</t>
  </si>
  <si>
    <t>SPOSRTELLI A</t>
  </si>
  <si>
    <t>STENICO T</t>
  </si>
  <si>
    <t>LICO G</t>
  </si>
  <si>
    <t>SANTONASTASO O</t>
  </si>
  <si>
    <t>PICCA E</t>
  </si>
  <si>
    <t>Giugno</t>
  </si>
  <si>
    <t>PAGNANI L</t>
  </si>
  <si>
    <t>BIRON</t>
  </si>
  <si>
    <t>DURANTE S</t>
  </si>
  <si>
    <t>SALVUCCI E</t>
  </si>
  <si>
    <t>MORETTI F</t>
  </si>
  <si>
    <t>CANTINI T</t>
  </si>
  <si>
    <t>BOTTICELLI L</t>
  </si>
  <si>
    <t>DE BENEDICTIS</t>
  </si>
  <si>
    <t>RESTALDI</t>
  </si>
  <si>
    <t>TOMAROVA</t>
  </si>
  <si>
    <t>MAFFEI</t>
  </si>
  <si>
    <t>MONTEDURO</t>
  </si>
  <si>
    <t>MELCHIONDA E</t>
  </si>
  <si>
    <t>Luglio</t>
  </si>
  <si>
    <t>LOMBARDI A</t>
  </si>
  <si>
    <t>SUBOTENKO</t>
  </si>
  <si>
    <t>GENTILINI V</t>
  </si>
  <si>
    <t>Agosto</t>
  </si>
  <si>
    <t>Settembre</t>
  </si>
  <si>
    <t>Ottobre</t>
  </si>
  <si>
    <t>Novembre</t>
  </si>
  <si>
    <t>Dicembre</t>
  </si>
  <si>
    <t>GENNAIO </t>
  </si>
  <si>
    <t>RISULATO 2025</t>
  </si>
  <si>
    <t>OBIETTIVO 2026</t>
  </si>
  <si>
    <t>CONSUNTIVO MESE</t>
  </si>
  <si>
    <t>% SU OBIETTIVO MESE</t>
  </si>
  <si>
    <t>DIFFERENZA SU OBIETTIVO</t>
  </si>
  <si>
    <t>PROGRESSIVO BUDGET</t>
  </si>
  <si>
    <t>PROGRESSIVO CONSUNTIVO</t>
  </si>
  <si>
    <t>DIFFERENZA SU PROGRESSIVO</t>
  </si>
  <si>
    <t>Colonna 1</t>
  </si>
  <si>
    <t>Colonna 3</t>
  </si>
  <si>
    <t>Mod. di Pag.</t>
  </si>
  <si>
    <t>Provenienza</t>
  </si>
  <si>
    <t>MEDICI</t>
  </si>
  <si>
    <t>OPERATORI</t>
  </si>
  <si>
    <t>ELENCO</t>
  </si>
  <si>
    <t>DIEGO</t>
  </si>
  <si>
    <t>JACOPO</t>
  </si>
  <si>
    <t>CUP SOLIDALE</t>
  </si>
  <si>
    <t>DIE-JAC</t>
  </si>
  <si>
    <t>JAC-DIE</t>
  </si>
  <si>
    <t>ELYGHT</t>
  </si>
  <si>
    <r>
      <rPr>
        <rFont val="Roboto"/>
        <color rgb="FF434343"/>
      </rPr>
      <t xml:space="preserve">CARICO </t>
    </r>
    <r>
      <rPr>
        <rFont val="Roboto"/>
        <color rgb="FF000000"/>
      </rPr>
      <t>ASSIC-NE</t>
    </r>
  </si>
  <si>
    <t>GOOGLE</t>
  </si>
  <si>
    <t>VICINATO</t>
  </si>
  <si>
    <t>ICOT</t>
  </si>
  <si>
    <t>CONTANTI</t>
  </si>
  <si>
    <t>nb.: qui è possibile aggiungere nelle rispettive colonne, medici, operatori e modalità di pagamento, i menù a discesa nei vari fogli riconosceranno solo i dati inseriti entro le righe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</si>
</sst>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€-2]\ #,##0.00"/>
    <numFmt numFmtId="165" formatCode="#,##0.00\ &quot;€&quot;;[Red]#,##0.00\ &quot;€&quot;"/>
    <numFmt numFmtId="166" formatCode="&quot;€&quot;\ #,##0.00"/>
    <numFmt numFmtId="167" formatCode="_-&quot;€&quot;\ * #,##0.00_-;\-&quot;€&quot;\ * #,##0.00_-;_-&quot;€&quot;\ * &quot;-&quot;??_-;_-@"/>
    <numFmt numFmtId="168" formatCode="#,##0.00\ &quot;€&quot;"/>
    <numFmt numFmtId="169" formatCode="d/m/yyyy"/>
    <numFmt numFmtId="170" formatCode="dd/MM/yyyy"/>
    <numFmt numFmtId="171" formatCode="dd/mm/yyyy"/>
    <numFmt numFmtId="172" formatCode="#,##0.00\ &quot;€&quot;;[Red]\-#,##0.00\ &quot;€&quot;"/>
  </numFmts>
  <fonts count="5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&quot;Google Sans&quot;"/>
    </font>
    <font>
      <b/>
      <u/>
      <sz val="11.0"/>
      <color rgb="FF434343"/>
      <name val="&quot;Google Sans&quot;"/>
    </font>
    <font>
      <color rgb="FF6AA84F"/>
      <name val="Arial"/>
      <scheme val="minor"/>
    </font>
    <font>
      <color rgb="FFCC0000"/>
      <name val="Arial"/>
      <scheme val="minor"/>
    </font>
    <font>
      <b/>
      <u/>
      <sz val="11.0"/>
      <color rgb="FF0000FF"/>
      <name val="&quot;Google Sans&quot;"/>
    </font>
    <font>
      <b/>
      <color theme="1"/>
      <name val="Arial"/>
      <scheme val="minor"/>
    </font>
    <font>
      <b/>
      <u/>
      <color rgb="FF0000FF"/>
      <name val="Roboto"/>
    </font>
    <font>
      <sz val="12.0"/>
      <color rgb="FF000000"/>
      <name val="Calibri"/>
    </font>
    <font>
      <b/>
      <color rgb="FF6AA84F"/>
      <name val="Arial"/>
      <scheme val="minor"/>
    </font>
    <font>
      <b/>
      <sz val="12.0"/>
      <color rgb="FF000000"/>
      <name val="Calibri"/>
    </font>
    <font>
      <b/>
      <color rgb="FF38761D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  <font>
      <color rgb="FFFF0000"/>
      <name val="Arial"/>
      <scheme val="minor"/>
    </font>
    <font>
      <color theme="1"/>
      <name val="Arial"/>
    </font>
    <font>
      <b/>
      <sz val="12.0"/>
      <color rgb="FF6AA84F"/>
      <name val="Arial"/>
    </font>
    <font>
      <b/>
      <sz val="12.0"/>
      <color rgb="FFCC0000"/>
      <name val="Arial"/>
    </font>
    <font>
      <sz val="12.0"/>
      <color theme="1"/>
      <name val="Arial"/>
    </font>
    <font/>
    <font>
      <sz val="12.0"/>
      <color rgb="FF000000"/>
      <name val="Arial"/>
    </font>
    <font>
      <b/>
      <sz val="13.0"/>
      <color theme="1"/>
      <name val="Arial"/>
    </font>
    <font>
      <b/>
      <sz val="15.0"/>
      <color rgb="FF000000"/>
      <name val="Arial"/>
    </font>
    <font>
      <b/>
      <sz val="12.0"/>
      <color theme="1"/>
      <name val="Arial"/>
    </font>
    <font>
      <b/>
      <sz val="9.0"/>
      <color rgb="FF000000"/>
      <name val="Arial"/>
    </font>
    <font>
      <b/>
      <sz val="7.0"/>
      <color theme="1"/>
      <name val="Arial"/>
    </font>
    <font>
      <sz val="9.0"/>
      <color rgb="FF000000"/>
      <name val="Arial"/>
    </font>
    <font>
      <b/>
      <sz val="12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2.0"/>
      <color theme="1"/>
      <name val="Calibri"/>
    </font>
    <font>
      <sz val="12.0"/>
      <color theme="1"/>
      <name val="Calibri"/>
    </font>
    <font>
      <b/>
      <sz val="14.0"/>
      <color theme="1"/>
      <name val="Arial"/>
    </font>
    <font>
      <b/>
      <sz val="10.0"/>
      <color theme="1"/>
      <name val="Arial"/>
    </font>
    <font>
      <b/>
      <sz val="12.0"/>
      <color rgb="FFE06666"/>
      <name val="Arial"/>
    </font>
    <font>
      <sz val="11.0"/>
      <color rgb="FF000000"/>
      <name val="Arial"/>
    </font>
    <font>
      <b/>
      <sz val="12.0"/>
      <color rgb="FFCC4125"/>
      <name val="Arial"/>
    </font>
    <font>
      <b/>
      <sz val="12.0"/>
      <color rgb="FF38761D"/>
      <name val="Arial"/>
    </font>
    <font>
      <b/>
      <sz val="11.0"/>
      <color theme="1"/>
      <name val="Arial"/>
    </font>
    <font>
      <b/>
      <sz val="12.0"/>
      <color rgb="FF0000FF"/>
      <name val="Arial"/>
    </font>
    <font>
      <sz val="12.0"/>
      <color rgb="FFFFFFFF"/>
      <name val="Calibri"/>
    </font>
    <font>
      <sz val="12.0"/>
      <color rgb="FFF6F8F9"/>
      <name val="Calibri"/>
    </font>
    <font>
      <sz val="12.0"/>
      <color rgb="FFF6F8F9"/>
      <name val="Arial"/>
    </font>
    <font>
      <b/>
      <sz val="12.0"/>
      <color rgb="FF3F3F3F"/>
      <name val="Arial"/>
    </font>
    <font>
      <b/>
      <sz val="11.0"/>
      <color theme="1"/>
      <name val="Arial"/>
      <scheme val="minor"/>
    </font>
    <font>
      <sz val="11.0"/>
      <color theme="1"/>
      <name val="Calibri"/>
    </font>
    <font>
      <sz val="14.0"/>
      <color theme="1"/>
      <name val="Arial"/>
    </font>
    <font>
      <b/>
      <sz val="12.0"/>
      <color rgb="FF008000"/>
      <name val="Arial"/>
    </font>
    <font>
      <b/>
      <sz val="12.0"/>
      <color rgb="FFFF0000"/>
      <name val="Arial"/>
    </font>
    <font>
      <color theme="1"/>
      <name val="Roboto"/>
    </font>
    <font>
      <color rgb="FF434343"/>
      <name val="Roboto"/>
    </font>
    <font>
      <b/>
      <sz val="9.0"/>
      <color theme="1"/>
      <name val="Arial"/>
    </font>
  </fonts>
  <fills count="36">
    <fill>
      <patternFill patternType="none"/>
    </fill>
    <fill>
      <patternFill patternType="lightGray"/>
    </fill>
    <fill>
      <patternFill patternType="solid">
        <fgColor rgb="FFD8E5F8"/>
        <bgColor rgb="FFD8E5F8"/>
      </patternFill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CC0000"/>
        <bgColor rgb="FFCC0000"/>
      </patternFill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D0806"/>
        <bgColor rgb="FFDD0806"/>
      </patternFill>
    </fill>
    <fill>
      <patternFill patternType="solid">
        <fgColor rgb="FFFCF305"/>
        <bgColor rgb="FFFCF305"/>
      </patternFill>
    </fill>
    <fill>
      <patternFill patternType="solid">
        <fgColor rgb="FF76923C"/>
        <bgColor rgb="FF76923C"/>
      </patternFill>
    </fill>
    <fill>
      <patternFill patternType="solid">
        <fgColor rgb="FF8E7CC3"/>
        <bgColor rgb="FF8E7CC3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theme="9"/>
        <bgColor theme="9"/>
      </patternFill>
    </fill>
    <fill>
      <patternFill patternType="solid">
        <fgColor rgb="FF008000"/>
        <bgColor rgb="FF008000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00CCFF"/>
        <bgColor rgb="FF00CCFF"/>
      </patternFill>
    </fill>
    <fill>
      <patternFill patternType="solid">
        <fgColor rgb="FF0000D4"/>
        <bgColor rgb="FF0000D4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C2D69B"/>
        <bgColor rgb="FFC2D69B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F6F8F9"/>
        <bgColor rgb="FFF6F8F9"/>
      </patternFill>
    </fill>
  </fills>
  <borders count="58">
    <border/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</border>
    <border>
      <left/>
      <right/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FF"/>
      </bottom>
    </border>
    <border>
      <bottom style="dotted">
        <color rgb="FF0000FF"/>
      </bottom>
    </border>
    <border>
      <left/>
      <right/>
      <top/>
      <bottom/>
    </border>
    <border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bottom style="medium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D966"/>
      </left>
      <right style="thin">
        <color rgb="FF284E3F"/>
      </right>
      <top style="thin">
        <color rgb="FFFFD966"/>
      </top>
      <bottom style="medium">
        <color rgb="FF000000"/>
      </bottom>
    </border>
    <border>
      <left style="hair">
        <color rgb="FF0000FF"/>
      </left>
      <bottom style="hair">
        <color rgb="FF0000FF"/>
      </bottom>
    </border>
    <border>
      <right style="hair">
        <color rgb="FF0000FF"/>
      </right>
      <bottom style="hair">
        <color rgb="FF0000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dotted">
        <color rgb="FF0000FF"/>
      </bottom>
    </border>
    <border>
      <left style="hair">
        <color rgb="FF0000FF"/>
      </left>
      <top style="hair">
        <color rgb="FF0000FF"/>
      </top>
      <bottom style="hair">
        <color rgb="FF0000FF"/>
      </bottom>
    </border>
    <border>
      <right style="hair">
        <color rgb="FF0000FF"/>
      </right>
      <top style="hair">
        <color rgb="FF0000FF"/>
      </top>
      <bottom style="hair">
        <color rgb="FF0000FF"/>
      </bottom>
    </border>
    <border>
      <left style="thin">
        <color rgb="FFFFFFFF"/>
      </left>
      <right style="thin">
        <color rgb="FF284E3F"/>
      </right>
      <top style="dotted">
        <color rgb="FF0000FF"/>
      </top>
      <bottom style="dotted">
        <color rgb="FF0000FF"/>
      </bottom>
    </border>
    <border>
      <left style="thin">
        <color rgb="FFF6F8F9"/>
      </left>
      <right style="thin">
        <color rgb="FF284E3F"/>
      </right>
      <top style="dotted">
        <color rgb="FF0000FF"/>
      </top>
      <bottom style="dotted">
        <color rgb="FF0000FF"/>
      </bottom>
    </border>
    <border>
      <left style="hair">
        <color rgb="FF0000FF"/>
      </left>
      <top style="hair">
        <color rgb="FF0000FF"/>
      </top>
    </border>
    <border>
      <right style="hair">
        <color rgb="FF0000FF"/>
      </right>
      <top style="hair">
        <color rgb="FF0000FF"/>
      </top>
    </border>
    <border>
      <left style="thin">
        <color rgb="FF284E3F"/>
      </left>
    </border>
    <border>
      <right style="thin">
        <color rgb="FF284E3F"/>
      </right>
      <top style="dotted">
        <color rgb="FF0000FF"/>
      </top>
      <bottom style="hair">
        <color rgb="FF0000FF"/>
      </bottom>
    </border>
    <border>
      <right style="thin">
        <color rgb="FF284E3F"/>
      </right>
      <top style="hair">
        <color rgb="FF0000FF"/>
      </top>
      <bottom style="hair">
        <color rgb="FF0000FF"/>
      </bottom>
    </border>
    <border>
      <left style="hair">
        <color rgb="FF0000FF"/>
      </left>
      <top style="hair">
        <color rgb="FF0000FF"/>
      </top>
      <bottom style="thin">
        <color rgb="FF000000"/>
      </bottom>
    </border>
    <border>
      <right style="hair">
        <color rgb="FF0000FF"/>
      </right>
      <top style="hair">
        <color rgb="FF0000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284E3F"/>
      </right>
      <top style="hair">
        <color rgb="FF0000FF"/>
      </top>
      <bottom style="thin">
        <color rgb="FF000000"/>
      </bottom>
    </border>
    <border>
      <left style="thin">
        <color rgb="FF284E3F"/>
      </left>
      <right style="thin">
        <color rgb="FFF6F8F9"/>
      </right>
      <bottom style="thin">
        <color rgb="FF284E3F"/>
      </bottom>
    </border>
    <border>
      <left style="thin">
        <color rgb="FFF6F8F9"/>
      </left>
      <right style="thin">
        <color rgb="FF284E3F"/>
      </right>
      <bottom style="thin">
        <color rgb="FF284E3F"/>
      </bottom>
    </border>
    <border>
      <bottom style="hair">
        <color rgb="FF0000FF"/>
      </bottom>
    </border>
  </borders>
  <cellStyleXfs count="1">
    <xf borderId="0" fillId="0" fontId="0" numFmtId="0" applyAlignment="1" applyFont="1"/>
  </cellStyleXfs>
  <cellXfs count="3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5" numFmtId="10" xfId="0" applyAlignment="1" applyFont="1" applyNumberFormat="1">
      <alignment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 shrinkToFit="0" vertical="center" wrapText="0"/>
    </xf>
    <xf borderId="0" fillId="4" fontId="1" numFmtId="0" xfId="0" applyAlignment="1" applyFill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5" fontId="1" numFmtId="0" xfId="0" applyAlignment="1" applyFill="1" applyFont="1">
      <alignment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1" fillId="0" fontId="10" numFmtId="164" xfId="0" applyAlignment="1" applyBorder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2" fillId="0" fontId="1" numFmtId="164" xfId="0" applyAlignment="1" applyBorder="1" applyFont="1" applyNumberFormat="1">
      <alignment shrinkToFit="0" vertical="center" wrapText="0"/>
    </xf>
    <xf borderId="3" fillId="0" fontId="10" numFmtId="164" xfId="0" applyAlignment="1" applyBorder="1" applyFont="1" applyNumberFormat="1">
      <alignment shrinkToFit="0" vertical="center" wrapText="0"/>
    </xf>
    <xf borderId="2" fillId="0" fontId="10" numFmtId="0" xfId="0" applyAlignment="1" applyBorder="1" applyFont="1">
      <alignment shrinkToFit="0" vertical="center" wrapText="0"/>
    </xf>
    <xf borderId="0" fillId="0" fontId="11" numFmtId="0" xfId="0" applyAlignment="1" applyFont="1">
      <alignment horizontal="right" readingOrder="0"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12" numFmtId="164" xfId="0" applyAlignment="1" applyFont="1" applyNumberForma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Font="1"/>
    <xf borderId="0" fillId="6" fontId="1" numFmtId="0" xfId="0" applyAlignment="1" applyFill="1" applyFont="1">
      <alignment horizontal="right" readingOrder="0" shrinkToFit="0" vertical="center" wrapText="0"/>
    </xf>
    <xf borderId="1" fillId="0" fontId="14" numFmtId="164" xfId="0" applyAlignment="1" applyBorder="1" applyFont="1" applyNumberFormat="1">
      <alignment shrinkToFit="0" vertical="center" wrapText="0"/>
    </xf>
    <xf borderId="0" fillId="0" fontId="14" numFmtId="0" xfId="0" applyAlignment="1" applyFont="1">
      <alignment shrinkToFit="0" vertical="center" wrapText="0"/>
    </xf>
    <xf borderId="3" fillId="0" fontId="14" numFmtId="164" xfId="0" applyAlignment="1" applyBorder="1" applyFont="1" applyNumberFormat="1">
      <alignment shrinkToFit="0" vertical="center" wrapText="0"/>
    </xf>
    <xf borderId="2" fillId="0" fontId="14" numFmtId="0" xfId="0" applyAlignment="1" applyBorder="1" applyFont="1">
      <alignment shrinkToFit="0" vertical="center" wrapText="0"/>
    </xf>
    <xf borderId="0" fillId="0" fontId="15" numFmtId="164" xfId="0" applyAlignment="1" applyFont="1" applyNumberFormat="1">
      <alignment shrinkToFit="0" vertical="center" wrapText="0"/>
    </xf>
    <xf borderId="0" fillId="0" fontId="14" numFmtId="164" xfId="0" applyAlignment="1" applyFont="1" applyNumberFormat="1">
      <alignment shrinkToFit="0" vertical="center" wrapText="0"/>
    </xf>
    <xf borderId="0" fillId="0" fontId="16" numFmtId="0" xfId="0" applyAlignment="1" applyFont="1">
      <alignment horizontal="center" vertical="bottom"/>
    </xf>
    <xf borderId="4" fillId="0" fontId="17" numFmtId="10" xfId="0" applyAlignment="1" applyBorder="1" applyFont="1" applyNumberFormat="1">
      <alignment horizontal="center" vertical="bottom"/>
    </xf>
    <xf borderId="1" fillId="0" fontId="18" numFmtId="10" xfId="0" applyAlignment="1" applyBorder="1" applyFont="1" applyNumberFormat="1">
      <alignment horizontal="center" vertical="bottom"/>
    </xf>
    <xf borderId="2" fillId="0" fontId="19" numFmtId="10" xfId="0" applyAlignment="1" applyBorder="1" applyFont="1" applyNumberFormat="1">
      <alignment horizontal="center" vertical="bottom"/>
    </xf>
    <xf borderId="2" fillId="0" fontId="20" numFmtId="0" xfId="0" applyBorder="1" applyFont="1"/>
    <xf borderId="5" fillId="7" fontId="1" numFmtId="0" xfId="0" applyAlignment="1" applyBorder="1" applyFill="1" applyFont="1">
      <alignment horizontal="left"/>
    </xf>
    <xf borderId="6" fillId="0" fontId="20" numFmtId="0" xfId="0" applyBorder="1" applyFont="1"/>
    <xf borderId="7" fillId="0" fontId="20" numFmtId="0" xfId="0" applyBorder="1" applyFont="1"/>
    <xf borderId="8" fillId="8" fontId="21" numFmtId="0" xfId="0" applyAlignment="1" applyBorder="1" applyFill="1" applyFont="1">
      <alignment horizontal="center" vertical="top"/>
    </xf>
    <xf borderId="8" fillId="9" fontId="22" numFmtId="0" xfId="0" applyAlignment="1" applyBorder="1" applyFill="1" applyFont="1">
      <alignment horizontal="center" readingOrder="0" textRotation="0" vertical="center"/>
    </xf>
    <xf borderId="8" fillId="7" fontId="23" numFmtId="49" xfId="0" applyAlignment="1" applyBorder="1" applyFont="1" applyNumberFormat="1">
      <alignment horizontal="center" readingOrder="0" textRotation="0" vertical="center"/>
    </xf>
    <xf borderId="0" fillId="0" fontId="21" numFmtId="0" xfId="0" applyAlignment="1" applyFont="1">
      <alignment horizontal="left" vertical="top"/>
    </xf>
    <xf borderId="0" fillId="8" fontId="24" numFmtId="165" xfId="0" applyAlignment="1" applyFont="1" applyNumberFormat="1">
      <alignment horizontal="center" readingOrder="0" shrinkToFit="0" vertical="center" wrapText="1"/>
    </xf>
    <xf borderId="0" fillId="0" fontId="21" numFmtId="166" xfId="0" applyAlignment="1" applyFont="1" applyNumberFormat="1">
      <alignment horizontal="center" shrinkToFit="0" vertical="top" wrapText="1"/>
    </xf>
    <xf borderId="0" fillId="0" fontId="25" numFmtId="0" xfId="0" applyAlignment="1" applyFont="1">
      <alignment horizontal="center" vertical="top"/>
    </xf>
    <xf borderId="0" fillId="0" fontId="21" numFmtId="0" xfId="0" applyAlignment="1" applyFont="1">
      <alignment horizontal="center" vertical="top"/>
    </xf>
    <xf borderId="0" fillId="0" fontId="21" numFmtId="167" xfId="0" applyAlignment="1" applyFont="1" applyNumberFormat="1">
      <alignment horizontal="center" vertical="top"/>
    </xf>
    <xf borderId="0" fillId="10" fontId="21" numFmtId="167" xfId="0" applyAlignment="1" applyFill="1" applyFont="1" applyNumberFormat="1">
      <alignment horizontal="center" vertical="top"/>
    </xf>
    <xf borderId="0" fillId="0" fontId="26" numFmtId="0" xfId="0" applyAlignment="1" applyFont="1">
      <alignment vertical="center"/>
    </xf>
    <xf borderId="0" fillId="0" fontId="24" numFmtId="0" xfId="0" applyAlignment="1" applyFont="1">
      <alignment horizontal="center" vertical="top"/>
    </xf>
    <xf borderId="1" fillId="0" fontId="20" numFmtId="0" xfId="0" applyBorder="1" applyFont="1"/>
    <xf borderId="4" fillId="0" fontId="20" numFmtId="0" xfId="0" applyBorder="1" applyFont="1"/>
    <xf borderId="9" fillId="0" fontId="20" numFmtId="0" xfId="0" applyBorder="1" applyFont="1"/>
    <xf borderId="0" fillId="0" fontId="21" numFmtId="166" xfId="0" applyAlignment="1" applyFont="1" applyNumberFormat="1">
      <alignment horizontal="center" vertical="top"/>
    </xf>
    <xf borderId="0" fillId="0" fontId="27" numFmtId="0" xfId="0" applyAlignment="1" applyFont="1">
      <alignment horizontal="center" vertical="top"/>
    </xf>
    <xf borderId="0" fillId="0" fontId="28" numFmtId="0" xfId="0" applyAlignment="1" applyFont="1">
      <alignment horizontal="center" vertical="top"/>
    </xf>
    <xf borderId="0" fillId="11" fontId="19" numFmtId="167" xfId="0" applyAlignment="1" applyFill="1" applyFont="1" applyNumberFormat="1">
      <alignment horizontal="center" vertical="top"/>
    </xf>
    <xf borderId="0" fillId="0" fontId="26" numFmtId="0" xfId="0" applyAlignment="1" applyFont="1">
      <alignment horizontal="left" shrinkToFit="0" vertical="center" wrapText="1"/>
    </xf>
    <xf borderId="0" fillId="0" fontId="24" numFmtId="166" xfId="0" applyAlignment="1" applyFont="1" applyNumberFormat="1">
      <alignment horizontal="center" vertical="top"/>
    </xf>
    <xf borderId="0" fillId="0" fontId="25" numFmtId="0" xfId="0" applyAlignment="1" applyFont="1">
      <alignment horizontal="center" readingOrder="0" shrinkToFit="0" vertical="center" wrapText="1"/>
    </xf>
    <xf borderId="0" fillId="12" fontId="19" numFmtId="167" xfId="0" applyAlignment="1" applyFill="1" applyFont="1" applyNumberFormat="1">
      <alignment horizontal="center" vertical="top"/>
    </xf>
    <xf borderId="3" fillId="0" fontId="20" numFmtId="0" xfId="0" applyBorder="1" applyFont="1"/>
    <xf borderId="10" fillId="0" fontId="20" numFmtId="0" xfId="0" applyBorder="1" applyFont="1"/>
    <xf borderId="11" fillId="0" fontId="20" numFmtId="0" xfId="0" applyBorder="1" applyFont="1"/>
    <xf borderId="0" fillId="0" fontId="29" numFmtId="1" xfId="0" applyAlignment="1" applyFont="1" applyNumberFormat="1">
      <alignment horizontal="right" vertical="center"/>
    </xf>
    <xf borderId="0" fillId="0" fontId="29" numFmtId="0" xfId="0" applyAlignment="1" applyFont="1">
      <alignment horizontal="right" vertical="center"/>
    </xf>
    <xf borderId="0" fillId="0" fontId="21" numFmtId="0" xfId="0" applyAlignment="1" applyFont="1">
      <alignment horizontal="center" vertical="center"/>
    </xf>
    <xf borderId="0" fillId="0" fontId="21" numFmtId="168" xfId="0" applyAlignment="1" applyFont="1" applyNumberFormat="1">
      <alignment horizontal="center" vertical="center"/>
    </xf>
    <xf borderId="0" fillId="0" fontId="30" numFmtId="0" xfId="0" applyAlignment="1" applyFont="1">
      <alignment horizontal="right" readingOrder="0" vertical="center"/>
    </xf>
    <xf borderId="0" fillId="8" fontId="28" numFmtId="164" xfId="0" applyAlignment="1" applyFont="1" applyNumberFormat="1">
      <alignment horizontal="center" vertical="center"/>
    </xf>
    <xf borderId="0" fillId="13" fontId="21" numFmtId="167" xfId="0" applyAlignment="1" applyFill="1" applyFont="1" applyNumberForma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/>
    </xf>
    <xf borderId="0" fillId="0" fontId="21" numFmtId="169" xfId="0" applyAlignment="1" applyFont="1" applyNumberFormat="1">
      <alignment horizontal="center" vertical="center"/>
    </xf>
    <xf borderId="0" fillId="0" fontId="29" numFmtId="164" xfId="0" applyAlignment="1" applyFont="1" applyNumberFormat="1">
      <alignment horizontal="left" vertical="center"/>
    </xf>
    <xf borderId="0" fillId="0" fontId="29" numFmtId="2" xfId="0" applyAlignment="1" applyFont="1" applyNumberFormat="1">
      <alignment horizontal="right" vertical="center"/>
    </xf>
    <xf borderId="0" fillId="0" fontId="21" numFmtId="167" xfId="0" applyAlignment="1" applyFont="1" applyNumberFormat="1">
      <alignment horizontal="center" vertical="center"/>
    </xf>
    <xf borderId="0" fillId="14" fontId="21" numFmtId="167" xfId="0" applyAlignment="1" applyFill="1" applyFont="1" applyNumberFormat="1">
      <alignment horizontal="center" vertical="center"/>
    </xf>
    <xf borderId="0" fillId="0" fontId="30" numFmtId="10" xfId="0" applyAlignment="1" applyFont="1" applyNumberFormat="1">
      <alignment horizontal="left" vertical="center"/>
    </xf>
    <xf borderId="0" fillId="0" fontId="30" numFmtId="10" xfId="0" applyAlignment="1" applyFont="1" applyNumberFormat="1">
      <alignment vertical="center"/>
    </xf>
    <xf borderId="0" fillId="0" fontId="30" numFmtId="9" xfId="0" applyAlignment="1" applyFont="1" applyNumberFormat="1">
      <alignment vertical="center"/>
    </xf>
    <xf borderId="0" fillId="15" fontId="21" numFmtId="0" xfId="0" applyAlignment="1" applyFill="1" applyFont="1">
      <alignment horizontal="left" shrinkToFit="0" vertical="center" wrapText="1"/>
    </xf>
    <xf borderId="0" fillId="16" fontId="26" numFmtId="0" xfId="0" applyAlignment="1" applyFill="1" applyFont="1">
      <alignment horizontal="left" shrinkToFit="0" vertical="center" wrapText="1"/>
    </xf>
    <xf borderId="0" fillId="17" fontId="7" numFmtId="0" xfId="0" applyAlignment="1" applyFill="1" applyFont="1">
      <alignment horizontal="left" readingOrder="0" vertical="center"/>
    </xf>
    <xf borderId="11" fillId="17" fontId="7" numFmtId="0" xfId="0" applyAlignment="1" applyBorder="1" applyFont="1">
      <alignment readingOrder="0" vertical="center"/>
    </xf>
    <xf borderId="11" fillId="9" fontId="11" numFmtId="0" xfId="0" applyAlignment="1" applyBorder="1" applyFont="1">
      <alignment horizontal="center" readingOrder="0" vertical="center"/>
    </xf>
    <xf borderId="12" fillId="17" fontId="11" numFmtId="0" xfId="0" applyAlignment="1" applyBorder="1" applyFont="1">
      <alignment horizontal="center" readingOrder="0" vertical="center"/>
    </xf>
    <xf borderId="12" fillId="9" fontId="11" numFmtId="0" xfId="0" applyAlignment="1" applyBorder="1" applyFont="1">
      <alignment horizontal="left" readingOrder="0" vertical="center"/>
    </xf>
    <xf borderId="12" fillId="17" fontId="11" numFmtId="0" xfId="0" applyAlignment="1" applyBorder="1" applyFont="1">
      <alignment readingOrder="0" vertical="center"/>
    </xf>
    <xf borderId="13" fillId="17" fontId="11" numFmtId="0" xfId="0" applyAlignment="1" applyBorder="1" applyFont="1">
      <alignment horizontal="left" readingOrder="0" vertical="center"/>
    </xf>
    <xf borderId="14" fillId="0" fontId="20" numFmtId="0" xfId="0" applyBorder="1" applyFont="1"/>
    <xf borderId="12" fillId="9" fontId="11" numFmtId="166" xfId="0" applyAlignment="1" applyBorder="1" applyFont="1" applyNumberFormat="1">
      <alignment horizontal="center" readingOrder="0" shrinkToFit="0" vertical="center" wrapText="1"/>
    </xf>
    <xf borderId="13" fillId="9" fontId="11" numFmtId="0" xfId="0" applyAlignment="1" applyBorder="1" applyFont="1">
      <alignment horizontal="center" readingOrder="0" vertical="center"/>
    </xf>
    <xf borderId="15" fillId="9" fontId="11" numFmtId="0" xfId="0" applyAlignment="1" applyBorder="1" applyFont="1">
      <alignment horizontal="center" readingOrder="0" vertical="center"/>
    </xf>
    <xf borderId="14" fillId="9" fontId="11" numFmtId="0" xfId="0" applyAlignment="1" applyBorder="1" applyFont="1">
      <alignment horizontal="center" readingOrder="0" vertical="center"/>
    </xf>
    <xf borderId="12" fillId="9" fontId="11" numFmtId="167" xfId="0" applyAlignment="1" applyBorder="1" applyFont="1" applyNumberFormat="1">
      <alignment horizontal="center" readingOrder="0" shrinkToFit="0" vertical="center" wrapText="1"/>
    </xf>
    <xf borderId="13" fillId="17" fontId="11" numFmtId="0" xfId="0" applyAlignment="1" applyBorder="1" applyFont="1">
      <alignment horizontal="left" readingOrder="0" shrinkToFit="0" vertical="center" wrapText="1"/>
    </xf>
    <xf borderId="12" fillId="9" fontId="31" numFmtId="0" xfId="0" applyAlignment="1" applyBorder="1" applyFont="1">
      <alignment horizontal="center" readingOrder="0" shrinkToFit="0" vertical="center" wrapText="1"/>
    </xf>
    <xf borderId="12" fillId="9" fontId="31" numFmtId="0" xfId="0" applyAlignment="1" applyBorder="1" applyFont="1">
      <alignment horizontal="left" vertical="center"/>
    </xf>
    <xf borderId="0" fillId="18" fontId="32" numFmtId="0" xfId="0" applyAlignment="1" applyFill="1" applyFont="1">
      <alignment horizontal="left"/>
    </xf>
    <xf borderId="16" fillId="18" fontId="32" numFmtId="0" xfId="0" applyBorder="1" applyFont="1"/>
    <xf borderId="17" fillId="18" fontId="32" numFmtId="0" xfId="0" applyBorder="1" applyFont="1"/>
    <xf borderId="2" fillId="7" fontId="9" numFmtId="0" xfId="0" applyAlignment="1" applyBorder="1" applyFont="1">
      <alignment horizontal="left" readingOrder="0" shrinkToFit="0" vertical="center" wrapText="0"/>
    </xf>
    <xf borderId="2" fillId="0" fontId="9" numFmtId="0" xfId="0" applyAlignment="1" applyBorder="1" applyFont="1">
      <alignment horizontal="right" readingOrder="0" vertical="center"/>
    </xf>
    <xf borderId="2" fillId="0" fontId="9" numFmtId="164" xfId="0" applyAlignment="1" applyBorder="1" applyFont="1" applyNumberFormat="1">
      <alignment readingOrder="0" vertical="center"/>
    </xf>
    <xf borderId="2" fillId="0" fontId="9" numFmtId="170" xfId="0" applyAlignment="1" applyBorder="1" applyFont="1" applyNumberFormat="1">
      <alignment horizontal="center" readingOrder="0" vertical="center"/>
    </xf>
    <xf borderId="2" fillId="0" fontId="9" numFmtId="0" xfId="0" applyAlignment="1" applyBorder="1" applyFont="1">
      <alignment readingOrder="0" vertical="center"/>
    </xf>
    <xf borderId="2" fillId="0" fontId="9" numFmtId="0" xfId="0" applyAlignment="1" applyBorder="1" applyFont="1">
      <alignment vertical="center"/>
    </xf>
    <xf borderId="2" fillId="0" fontId="9" numFmtId="0" xfId="0" applyAlignment="1" applyBorder="1" applyFont="1">
      <alignment readingOrder="0" shrinkToFit="0" vertical="center" wrapText="0"/>
    </xf>
    <xf borderId="2" fillId="0" fontId="32" numFmtId="0" xfId="0" applyAlignment="1" applyBorder="1" applyFont="1">
      <alignment vertical="center"/>
    </xf>
    <xf borderId="2" fillId="0" fontId="19" numFmtId="0" xfId="0" applyAlignment="1" applyBorder="1" applyFont="1">
      <alignment vertical="center"/>
    </xf>
    <xf borderId="6" fillId="7" fontId="1" numFmtId="0" xfId="0" applyBorder="1" applyFont="1"/>
    <xf borderId="15" fillId="0" fontId="9" numFmtId="0" xfId="0" applyAlignment="1" applyBorder="1" applyFont="1">
      <alignment readingOrder="0" shrinkToFit="0" vertical="center" wrapText="0"/>
    </xf>
    <xf borderId="15" fillId="0" fontId="9" numFmtId="169" xfId="0" applyAlignment="1" applyBorder="1" applyFont="1" applyNumberFormat="1">
      <alignment horizontal="center" vertical="center"/>
    </xf>
    <xf borderId="15" fillId="0" fontId="9" numFmtId="0" xfId="0" applyAlignment="1" applyBorder="1" applyFont="1">
      <alignment readingOrder="0" vertical="center"/>
    </xf>
    <xf borderId="15" fillId="0" fontId="9" numFmtId="0" xfId="0" applyAlignment="1" applyBorder="1" applyFont="1">
      <alignment vertical="center"/>
    </xf>
    <xf borderId="15" fillId="0" fontId="9" numFmtId="164" xfId="0" applyAlignment="1" applyBorder="1" applyFont="1" applyNumberFormat="1">
      <alignment readingOrder="0" vertical="center"/>
    </xf>
    <xf borderId="15" fillId="0" fontId="9" numFmtId="170" xfId="0" applyAlignment="1" applyBorder="1" applyFont="1" applyNumberFormat="1">
      <alignment horizontal="center" readingOrder="0" vertical="center"/>
    </xf>
    <xf borderId="15" fillId="0" fontId="20" numFmtId="0" xfId="0" applyBorder="1" applyFont="1"/>
    <xf borderId="15" fillId="0" fontId="9" numFmtId="0" xfId="0" applyAlignment="1" applyBorder="1" applyFont="1">
      <alignment vertical="center"/>
    </xf>
    <xf borderId="15" fillId="0" fontId="9" numFmtId="0" xfId="0" applyAlignment="1" applyBorder="1" applyFont="1">
      <alignment readingOrder="0" shrinkToFit="0" vertical="center" wrapText="0"/>
    </xf>
    <xf borderId="15" fillId="0" fontId="32" numFmtId="0" xfId="0" applyAlignment="1" applyBorder="1" applyFont="1">
      <alignment vertical="center"/>
    </xf>
    <xf borderId="15" fillId="0" fontId="19" numFmtId="0" xfId="0" applyAlignment="1" applyBorder="1" applyFont="1">
      <alignment vertical="center"/>
    </xf>
    <xf borderId="15" fillId="8" fontId="19" numFmtId="169" xfId="0" applyAlignment="1" applyBorder="1" applyFont="1" applyNumberFormat="1">
      <alignment horizontal="right" vertical="bottom"/>
    </xf>
    <xf borderId="15" fillId="0" fontId="9" numFmtId="169" xfId="0" applyAlignment="1" applyBorder="1" applyFont="1" applyNumberFormat="1">
      <alignment readingOrder="0" vertical="center"/>
    </xf>
    <xf borderId="15" fillId="8" fontId="32" numFmtId="169" xfId="0" applyAlignment="1" applyBorder="1" applyFont="1" applyNumberFormat="1">
      <alignment vertical="bottom"/>
    </xf>
    <xf borderId="15" fillId="19" fontId="9" numFmtId="0" xfId="0" applyAlignment="1" applyBorder="1" applyFill="1" applyFont="1">
      <alignment horizontal="left" readingOrder="0" shrinkToFit="0" vertical="center" wrapText="0"/>
    </xf>
    <xf borderId="15" fillId="0" fontId="9" numFmtId="0" xfId="0" applyAlignment="1" applyBorder="1" applyFont="1">
      <alignment horizontal="right" readingOrder="0" vertical="center"/>
    </xf>
    <xf borderId="6" fillId="19" fontId="1" numFmtId="0" xfId="0" applyBorder="1" applyFont="1"/>
    <xf borderId="15" fillId="0" fontId="9" numFmtId="171" xfId="0" applyAlignment="1" applyBorder="1" applyFont="1" applyNumberFormat="1">
      <alignment readingOrder="0" vertical="center"/>
    </xf>
    <xf borderId="15" fillId="17" fontId="9" numFmtId="0" xfId="0" applyAlignment="1" applyBorder="1" applyFont="1">
      <alignment horizontal="left" readingOrder="0" shrinkToFit="0" vertical="center" wrapText="0"/>
    </xf>
    <xf borderId="6" fillId="17" fontId="9" numFmtId="0" xfId="0" applyAlignment="1" applyBorder="1" applyFont="1">
      <alignment horizontal="left" readingOrder="0" shrinkToFit="0" vertical="center" wrapText="0"/>
    </xf>
    <xf borderId="15" fillId="20" fontId="9" numFmtId="0" xfId="0" applyAlignment="1" applyBorder="1" applyFill="1" applyFont="1">
      <alignment readingOrder="0" shrinkToFit="0" vertical="center" wrapText="0"/>
    </xf>
    <xf borderId="15" fillId="21" fontId="9" numFmtId="170" xfId="0" applyAlignment="1" applyBorder="1" applyFill="1" applyFont="1" applyNumberFormat="1">
      <alignment horizontal="center" readingOrder="0" vertical="center"/>
    </xf>
    <xf borderId="15" fillId="20" fontId="9" numFmtId="0" xfId="0" applyAlignment="1" applyBorder="1" applyFont="1">
      <alignment readingOrder="0" vertical="center"/>
    </xf>
    <xf borderId="2" fillId="20" fontId="9" numFmtId="0" xfId="0" applyAlignment="1" applyBorder="1" applyFont="1">
      <alignment readingOrder="0" vertical="center"/>
    </xf>
    <xf borderId="15" fillId="20" fontId="9" numFmtId="164" xfId="0" applyAlignment="1" applyBorder="1" applyFont="1" applyNumberFormat="1">
      <alignment readingOrder="0" vertical="center"/>
    </xf>
    <xf borderId="15" fillId="20" fontId="9" numFmtId="170" xfId="0" applyAlignment="1" applyBorder="1" applyFont="1" applyNumberFormat="1">
      <alignment horizontal="center" readingOrder="0" vertical="center"/>
    </xf>
    <xf borderId="15" fillId="20" fontId="9" numFmtId="0" xfId="0" applyAlignment="1" applyBorder="1" applyFont="1">
      <alignment vertical="center"/>
    </xf>
    <xf borderId="15" fillId="20" fontId="9" numFmtId="0" xfId="0" applyAlignment="1" applyBorder="1" applyFont="1">
      <alignment readingOrder="0" shrinkToFit="0" vertical="center" wrapText="0"/>
    </xf>
    <xf borderId="15" fillId="20" fontId="32" numFmtId="0" xfId="0" applyAlignment="1" applyBorder="1" applyFont="1">
      <alignment vertical="center"/>
    </xf>
    <xf borderId="15" fillId="20" fontId="19" numFmtId="0" xfId="0" applyAlignment="1" applyBorder="1" applyFont="1">
      <alignment vertical="center"/>
    </xf>
    <xf borderId="15" fillId="0" fontId="9" numFmtId="0" xfId="0" applyAlignment="1" applyBorder="1" applyFont="1">
      <alignment horizontal="center" readingOrder="0" vertical="center"/>
    </xf>
    <xf borderId="18" fillId="9" fontId="33" numFmtId="0" xfId="0" applyAlignment="1" applyBorder="1" applyFont="1">
      <alignment horizontal="center" readingOrder="0" vertical="center"/>
    </xf>
    <xf borderId="18" fillId="22" fontId="33" numFmtId="49" xfId="0" applyAlignment="1" applyBorder="1" applyFill="1" applyFont="1" applyNumberFormat="1">
      <alignment horizontal="center" readingOrder="0" vertical="center"/>
    </xf>
    <xf borderId="19" fillId="9" fontId="34" numFmtId="165" xfId="0" applyAlignment="1" applyBorder="1" applyFont="1" applyNumberFormat="1">
      <alignment horizontal="center" readingOrder="0" shrinkToFit="0" vertical="center" wrapText="1"/>
    </xf>
    <xf borderId="20" fillId="0" fontId="20" numFmtId="0" xfId="0" applyBorder="1" applyFont="1"/>
    <xf borderId="21" fillId="0" fontId="20" numFmtId="0" xfId="0" applyBorder="1" applyFont="1"/>
    <xf borderId="22" fillId="0" fontId="20" numFmtId="0" xfId="0" applyBorder="1" applyFont="1"/>
    <xf borderId="23" fillId="0" fontId="20" numFmtId="0" xfId="0" applyBorder="1" applyFont="1"/>
    <xf borderId="0" fillId="0" fontId="29" numFmtId="17" xfId="0" applyAlignment="1" applyFont="1" applyNumberFormat="1">
      <alignment horizontal="left" vertical="top"/>
    </xf>
    <xf borderId="0" fillId="0" fontId="29" numFmtId="164" xfId="0" applyAlignment="1" applyFont="1" applyNumberFormat="1">
      <alignment vertical="top"/>
    </xf>
    <xf borderId="0" fillId="0" fontId="25" numFmtId="0" xfId="0" applyAlignment="1" applyFont="1">
      <alignment horizontal="center" readingOrder="0" shrinkToFit="0" vertical="bottom" wrapText="1"/>
    </xf>
    <xf borderId="0" fillId="0" fontId="21" numFmtId="0" xfId="0" applyAlignment="1" applyFont="1">
      <alignment horizontal="center" vertical="bottom"/>
    </xf>
    <xf borderId="0" fillId="0" fontId="35" numFmtId="10" xfId="0" applyAlignment="1" applyFont="1" applyNumberFormat="1">
      <alignment horizontal="left" vertical="bottom"/>
    </xf>
    <xf borderId="0" fillId="0" fontId="30" numFmtId="0" xfId="0" applyAlignment="1" applyFont="1">
      <alignment horizontal="left" readingOrder="0" vertical="center"/>
    </xf>
    <xf borderId="0" fillId="0" fontId="29" numFmtId="164" xfId="0" applyAlignment="1" applyFont="1" applyNumberFormat="1">
      <alignment vertical="center"/>
    </xf>
    <xf borderId="0" fillId="0" fontId="24" numFmtId="166" xfId="0" applyAlignment="1" applyFont="1" applyNumberFormat="1">
      <alignment horizontal="center" vertical="center"/>
    </xf>
    <xf borderId="0" fillId="0" fontId="36" numFmtId="0" xfId="0" applyAlignment="1" applyFont="1">
      <alignment horizontal="center" vertical="center"/>
    </xf>
    <xf borderId="0" fillId="23" fontId="21" numFmtId="167" xfId="0" applyAlignment="1" applyFill="1" applyFont="1" applyNumberFormat="1">
      <alignment horizontal="center" vertical="center"/>
    </xf>
    <xf borderId="0" fillId="0" fontId="21" numFmtId="0" xfId="0" applyAlignment="1" applyFont="1">
      <alignment horizontal="left" vertical="center"/>
    </xf>
    <xf borderId="0" fillId="0" fontId="21" numFmtId="0" xfId="0" applyAlignment="1" applyFont="1">
      <alignment vertical="center"/>
    </xf>
    <xf borderId="0" fillId="0" fontId="21" numFmtId="9" xfId="0" applyAlignment="1" applyFont="1" applyNumberFormat="1">
      <alignment horizontal="left" vertical="center"/>
    </xf>
    <xf borderId="0" fillId="0" fontId="36" numFmtId="0" xfId="0" applyAlignment="1" applyFont="1">
      <alignment horizontal="right" vertical="bottom"/>
    </xf>
    <xf borderId="0" fillId="0" fontId="37" numFmtId="10" xfId="0" applyAlignment="1" applyFont="1" applyNumberFormat="1">
      <alignment horizontal="left" vertical="bottom"/>
    </xf>
    <xf borderId="0" fillId="0" fontId="28" numFmtId="10" xfId="0" applyAlignment="1" applyFont="1" applyNumberFormat="1">
      <alignment horizontal="center" vertical="center"/>
    </xf>
    <xf borderId="0" fillId="0" fontId="30" numFmtId="0" xfId="0" applyAlignment="1" applyFont="1">
      <alignment horizontal="right" vertical="center"/>
    </xf>
    <xf borderId="2" fillId="0" fontId="38" numFmtId="164" xfId="0" applyAlignment="1" applyBorder="1" applyFont="1" applyNumberFormat="1">
      <alignment horizontal="center" readingOrder="0" vertical="center"/>
    </xf>
    <xf borderId="2" fillId="0" fontId="38" numFmtId="164" xfId="0" applyAlignment="1" applyBorder="1" applyFont="1" applyNumberFormat="1">
      <alignment horizontal="left" readingOrder="0" vertical="center"/>
    </xf>
    <xf borderId="0" fillId="0" fontId="38" numFmtId="164" xfId="0" applyAlignment="1" applyFont="1" applyNumberFormat="1">
      <alignment horizontal="left" readingOrder="0" vertical="center"/>
    </xf>
    <xf borderId="0" fillId="24" fontId="21" numFmtId="167" xfId="0" applyAlignment="1" applyFill="1" applyFont="1" applyNumberFormat="1">
      <alignment horizontal="center" vertical="center"/>
    </xf>
    <xf borderId="0" fillId="0" fontId="26" numFmtId="10" xfId="0" applyAlignment="1" applyFont="1" applyNumberFormat="1">
      <alignment horizontal="left" shrinkToFit="0" vertical="center" wrapText="1"/>
    </xf>
    <xf borderId="0" fillId="0" fontId="19" numFmtId="0" xfId="0" applyAlignment="1" applyFont="1">
      <alignment horizontal="center" readingOrder="0" vertical="center"/>
    </xf>
    <xf borderId="2" fillId="9" fontId="28" numFmtId="164" xfId="0" applyAlignment="1" applyBorder="1" applyFont="1" applyNumberFormat="1">
      <alignment horizontal="center" vertical="center"/>
    </xf>
    <xf borderId="24" fillId="9" fontId="28" numFmtId="164" xfId="0" applyAlignment="1" applyBorder="1" applyFont="1" applyNumberFormat="1">
      <alignment horizontal="center" vertical="center"/>
    </xf>
    <xf borderId="0" fillId="0" fontId="39" numFmtId="0" xfId="0" applyAlignment="1" applyFont="1">
      <alignment horizontal="left" readingOrder="0" shrinkToFit="0" vertical="center" wrapText="1"/>
    </xf>
    <xf borderId="0" fillId="0" fontId="36" numFmtId="0" xfId="0" applyAlignment="1" applyFont="1">
      <alignment horizontal="right" readingOrder="0" vertical="center"/>
    </xf>
    <xf borderId="25" fillId="25" fontId="40" numFmtId="167" xfId="0" applyAlignment="1" applyBorder="1" applyFill="1" applyFont="1" applyNumberFormat="1">
      <alignment horizontal="left" vertical="center"/>
    </xf>
    <xf borderId="26" fillId="18" fontId="32" numFmtId="0" xfId="0" applyBorder="1" applyFont="1"/>
    <xf borderId="2" fillId="0" fontId="9" numFmtId="0" xfId="0" applyAlignment="1" applyBorder="1" applyFont="1">
      <alignment readingOrder="0" shrinkToFit="0" vertical="center" wrapText="0"/>
    </xf>
    <xf borderId="10" fillId="0" fontId="9" numFmtId="0" xfId="0" applyAlignment="1" applyBorder="1" applyFont="1">
      <alignment readingOrder="0" shrinkToFit="0" vertical="center" wrapText="0"/>
    </xf>
    <xf borderId="27" fillId="0" fontId="32" numFmtId="0" xfId="0" applyAlignment="1" applyBorder="1" applyFont="1">
      <alignment vertical="center"/>
    </xf>
    <xf borderId="26" fillId="0" fontId="19" numFmtId="0" xfId="0" applyAlignment="1" applyBorder="1" applyFont="1">
      <alignment vertical="center"/>
    </xf>
    <xf borderId="2" fillId="0" fontId="41" numFmtId="0" xfId="0" applyAlignment="1" applyBorder="1" applyFont="1">
      <alignment readingOrder="0" vertical="center"/>
    </xf>
    <xf borderId="2" fillId="0" fontId="9" numFmtId="171" xfId="0" applyAlignment="1" applyBorder="1" applyFont="1" applyNumberFormat="1">
      <alignment readingOrder="0" vertical="center"/>
    </xf>
    <xf borderId="28" fillId="26" fontId="21" numFmtId="0" xfId="0" applyAlignment="1" applyBorder="1" applyFill="1" applyFont="1">
      <alignment shrinkToFit="0" vertical="bottom" wrapText="0"/>
    </xf>
    <xf borderId="0" fillId="0" fontId="29" numFmtId="17" xfId="0" applyAlignment="1" applyFont="1" applyNumberFormat="1">
      <alignment horizontal="left" vertical="center"/>
    </xf>
    <xf borderId="2" fillId="27" fontId="42" numFmtId="0" xfId="0" applyAlignment="1" applyBorder="1" applyFill="1" applyFont="1">
      <alignment readingOrder="0" shrinkToFit="0" vertical="center" wrapText="0"/>
    </xf>
    <xf borderId="2" fillId="27" fontId="42" numFmtId="170" xfId="0" applyAlignment="1" applyBorder="1" applyFont="1" applyNumberFormat="1">
      <alignment horizontal="center" readingOrder="0" vertical="center"/>
    </xf>
    <xf borderId="2" fillId="27" fontId="42" numFmtId="0" xfId="0" applyAlignment="1" applyBorder="1" applyFont="1">
      <alignment readingOrder="0" vertical="center"/>
    </xf>
    <xf borderId="2" fillId="27" fontId="42" numFmtId="164" xfId="0" applyAlignment="1" applyBorder="1" applyFont="1" applyNumberFormat="1">
      <alignment readingOrder="0" vertical="center"/>
    </xf>
    <xf borderId="2" fillId="27" fontId="42" numFmtId="0" xfId="0" applyAlignment="1" applyBorder="1" applyFont="1">
      <alignment vertical="center"/>
    </xf>
    <xf borderId="29" fillId="27" fontId="43" numFmtId="0" xfId="0" applyAlignment="1" applyBorder="1" applyFont="1">
      <alignment shrinkToFit="0" vertical="bottom" wrapText="0"/>
    </xf>
    <xf borderId="27" fillId="27" fontId="42" numFmtId="0" xfId="0" applyAlignment="1" applyBorder="1" applyFont="1">
      <alignment vertical="center"/>
    </xf>
    <xf borderId="26" fillId="27" fontId="43" numFmtId="0" xfId="0" applyAlignment="1" applyBorder="1" applyFont="1">
      <alignment vertical="center"/>
    </xf>
    <xf borderId="2" fillId="0" fontId="32" numFmtId="0" xfId="0" applyAlignment="1" applyBorder="1" applyFont="1">
      <alignment readingOrder="0" vertical="center"/>
    </xf>
    <xf borderId="10" fillId="0" fontId="41" numFmtId="0" xfId="0" applyAlignment="1" applyBorder="1" applyFont="1">
      <alignment readingOrder="0" shrinkToFit="0" vertical="center" wrapText="0"/>
    </xf>
    <xf borderId="28" fillId="14" fontId="21" numFmtId="0" xfId="0" applyAlignment="1" applyBorder="1" applyFont="1">
      <alignment shrinkToFit="0" vertical="bottom" wrapText="0"/>
    </xf>
    <xf borderId="12" fillId="26" fontId="21" numFmtId="0" xfId="0" applyAlignment="1" applyBorder="1" applyFont="1">
      <alignment shrinkToFit="0" vertical="bottom" wrapText="0"/>
    </xf>
    <xf borderId="12" fillId="16" fontId="21" numFmtId="0" xfId="0" applyAlignment="1" applyBorder="1" applyFont="1">
      <alignment shrinkToFit="0" vertical="bottom" wrapText="0"/>
    </xf>
    <xf borderId="28" fillId="16" fontId="21" numFmtId="0" xfId="0" applyAlignment="1" applyBorder="1" applyFont="1">
      <alignment readingOrder="0" shrinkToFit="0" vertical="bottom" wrapText="0"/>
    </xf>
    <xf borderId="28" fillId="16" fontId="21" numFmtId="0" xfId="0" applyAlignment="1" applyBorder="1" applyFont="1">
      <alignment shrinkToFit="0" vertical="bottom" wrapText="0"/>
    </xf>
    <xf borderId="29" fillId="16" fontId="21" numFmtId="0" xfId="0" applyAlignment="1" applyBorder="1" applyFont="1">
      <alignment readingOrder="0" shrinkToFit="0" vertical="bottom" wrapText="0"/>
    </xf>
    <xf borderId="10" fillId="8" fontId="21" numFmtId="0" xfId="0" applyAlignment="1" applyBorder="1" applyFont="1">
      <alignment readingOrder="0" shrinkToFit="0" vertical="bottom" wrapText="0"/>
    </xf>
    <xf borderId="10" fillId="26" fontId="21" numFmtId="0" xfId="0" applyAlignment="1" applyBorder="1" applyFont="1">
      <alignment readingOrder="0" shrinkToFit="0" vertical="bottom" wrapText="0"/>
    </xf>
    <xf borderId="10" fillId="16" fontId="21" numFmtId="0" xfId="0" applyAlignment="1" applyBorder="1" applyFont="1">
      <alignment readingOrder="0" shrinkToFit="0" vertical="bottom" wrapText="0"/>
    </xf>
    <xf borderId="12" fillId="26" fontId="21" numFmtId="0" xfId="0" applyAlignment="1" applyBorder="1" applyFont="1">
      <alignment readingOrder="0" shrinkToFit="0" vertical="bottom" wrapText="0"/>
    </xf>
    <xf borderId="10" fillId="20" fontId="21" numFmtId="0" xfId="0" applyAlignment="1" applyBorder="1" applyFont="1">
      <alignment readingOrder="0" shrinkToFit="0" vertical="bottom" wrapText="0"/>
    </xf>
    <xf borderId="12" fillId="20" fontId="21" numFmtId="0" xfId="0" applyAlignment="1" applyBorder="1" applyFont="1">
      <alignment readingOrder="0" shrinkToFit="0" vertical="bottom" wrapText="0"/>
    </xf>
    <xf borderId="12" fillId="26" fontId="19" numFmtId="0" xfId="0" applyAlignment="1" applyBorder="1" applyFont="1">
      <alignment readingOrder="0"/>
    </xf>
    <xf borderId="15" fillId="0" fontId="9" numFmtId="171" xfId="0" applyAlignment="1" applyBorder="1" applyFont="1" applyNumberFormat="1">
      <alignment horizontal="center" readingOrder="0" vertical="center"/>
    </xf>
    <xf borderId="12" fillId="23" fontId="21" numFmtId="0" xfId="0" applyAlignment="1" applyBorder="1" applyFont="1">
      <alignment readingOrder="0" shrinkToFit="0" vertical="bottom" wrapText="0"/>
    </xf>
    <xf borderId="2" fillId="0" fontId="41" numFmtId="170" xfId="0" applyAlignment="1" applyBorder="1" applyFont="1" applyNumberFormat="1">
      <alignment horizontal="center" readingOrder="0" vertical="center"/>
    </xf>
    <xf borderId="2" fillId="0" fontId="41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70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9" numFmtId="164" xfId="0" applyAlignment="1" applyFont="1" applyNumberFormat="1">
      <alignment readingOrder="0" vertical="center"/>
    </xf>
    <xf borderId="0" fillId="0" fontId="32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0" fontId="1" numFmtId="0" xfId="0" applyAlignment="1" applyFont="1">
      <alignment readingOrder="0"/>
    </xf>
    <xf borderId="2" fillId="0" fontId="41" numFmtId="164" xfId="0" applyAlignment="1" applyBorder="1" applyFont="1" applyNumberFormat="1">
      <alignment readingOrder="0" vertical="center"/>
    </xf>
    <xf borderId="13" fillId="9" fontId="31" numFmtId="0" xfId="0" applyAlignment="1" applyBorder="1" applyFont="1">
      <alignment horizontal="center" vertical="center"/>
    </xf>
    <xf borderId="30" fillId="18" fontId="32" numFmtId="0" xfId="0" applyBorder="1" applyFont="1"/>
    <xf borderId="0" fillId="0" fontId="28" numFmtId="0" xfId="0" applyFont="1"/>
    <xf borderId="0" fillId="28" fontId="28" numFmtId="0" xfId="0" applyFill="1" applyFont="1"/>
    <xf borderId="0" fillId="16" fontId="1" numFmtId="0" xfId="0" applyFont="1"/>
    <xf borderId="0" fillId="29" fontId="28" numFmtId="0" xfId="0" applyFill="1" applyFont="1"/>
    <xf borderId="0" fillId="14" fontId="28" numFmtId="0" xfId="0" applyAlignment="1" applyFont="1">
      <alignment horizontal="center"/>
    </xf>
    <xf borderId="0" fillId="30" fontId="28" numFmtId="0" xfId="0" applyAlignment="1" applyFill="1" applyFont="1">
      <alignment horizontal="center" readingOrder="0"/>
    </xf>
    <xf borderId="0" fillId="31" fontId="28" numFmtId="0" xfId="0" applyAlignment="1" applyFill="1" applyFont="1">
      <alignment horizontal="center" readingOrder="0"/>
    </xf>
    <xf borderId="0" fillId="32" fontId="24" numFmtId="0" xfId="0" applyAlignment="1" applyFill="1" applyFont="1">
      <alignment horizontal="center" readingOrder="0"/>
    </xf>
    <xf borderId="0" fillId="16" fontId="24" numFmtId="0" xfId="0" applyAlignment="1" applyFont="1">
      <alignment horizontal="center"/>
    </xf>
    <xf borderId="0" fillId="8" fontId="44" numFmtId="0" xfId="0" applyFont="1"/>
    <xf borderId="0" fillId="0" fontId="24" numFmtId="0" xfId="0" applyFont="1"/>
    <xf borderId="0" fillId="28" fontId="28" numFmtId="0" xfId="0" applyAlignment="1" applyFont="1">
      <alignment horizontal="center" readingOrder="0" vertical="center"/>
    </xf>
    <xf borderId="0" fillId="16" fontId="1" numFmtId="0" xfId="0" applyAlignment="1" applyFont="1">
      <alignment vertical="center"/>
    </xf>
    <xf borderId="13" fillId="0" fontId="28" numFmtId="170" xfId="0" applyAlignment="1" applyBorder="1" applyFont="1" applyNumberFormat="1">
      <alignment readingOrder="0"/>
    </xf>
    <xf borderId="14" fillId="0" fontId="28" numFmtId="0" xfId="0" applyAlignment="1" applyBorder="1" applyFont="1">
      <alignment readingOrder="0"/>
    </xf>
    <xf borderId="12" fillId="0" fontId="28" numFmtId="164" xfId="0" applyAlignment="1" applyBorder="1" applyFont="1" applyNumberFormat="1">
      <alignment readingOrder="0"/>
    </xf>
    <xf borderId="13" fillId="0" fontId="28" numFmtId="0" xfId="0" applyAlignment="1" applyBorder="1" applyFont="1">
      <alignment readingOrder="0"/>
    </xf>
    <xf borderId="31" fillId="16" fontId="1" numFmtId="0" xfId="0" applyAlignment="1" applyBorder="1" applyFont="1">
      <alignment readingOrder="0"/>
    </xf>
    <xf borderId="32" fillId="16" fontId="1" numFmtId="0" xfId="0" applyBorder="1" applyFont="1"/>
    <xf borderId="0" fillId="28" fontId="28" numFmtId="0" xfId="0" applyAlignment="1" applyFont="1">
      <alignment readingOrder="0"/>
    </xf>
    <xf borderId="13" fillId="0" fontId="44" numFmtId="0" xfId="0" applyAlignment="1" applyBorder="1" applyFont="1">
      <alignment readingOrder="0"/>
    </xf>
    <xf borderId="14" fillId="0" fontId="28" numFmtId="0" xfId="0" applyBorder="1" applyFont="1"/>
    <xf borderId="12" fillId="0" fontId="28" numFmtId="164" xfId="0" applyBorder="1" applyFont="1" applyNumberFormat="1"/>
    <xf borderId="12" fillId="0" fontId="28" numFmtId="0" xfId="0" applyBorder="1" applyFont="1"/>
    <xf borderId="33" fillId="0" fontId="45" numFmtId="164" xfId="0" applyAlignment="1" applyBorder="1" applyFont="1" applyNumberFormat="1">
      <alignment horizontal="center"/>
    </xf>
    <xf borderId="0" fillId="16" fontId="1" numFmtId="0" xfId="0" applyAlignment="1" applyFont="1">
      <alignment readingOrder="0"/>
    </xf>
    <xf borderId="13" fillId="28" fontId="44" numFmtId="0" xfId="0" applyAlignment="1" applyBorder="1" applyFont="1">
      <alignment horizontal="center" readingOrder="0" vertical="center"/>
    </xf>
    <xf borderId="13" fillId="8" fontId="44" numFmtId="170" xfId="0" applyAlignment="1" applyBorder="1" applyFont="1" applyNumberFormat="1">
      <alignment readingOrder="0"/>
    </xf>
    <xf borderId="34" fillId="16" fontId="1" numFmtId="0" xfId="0" applyAlignment="1" applyBorder="1" applyFont="1">
      <alignment readingOrder="0"/>
    </xf>
    <xf borderId="13" fillId="8" fontId="44" numFmtId="170" xfId="0" applyBorder="1" applyFont="1" applyNumberFormat="1"/>
    <xf borderId="13" fillId="0" fontId="28" numFmtId="0" xfId="0" applyBorder="1" applyFont="1"/>
    <xf borderId="34" fillId="0" fontId="45" numFmtId="164" xfId="0" applyAlignment="1" applyBorder="1" applyFont="1" applyNumberFormat="1">
      <alignment horizontal="center"/>
    </xf>
    <xf borderId="13" fillId="0" fontId="24" numFmtId="171" xfId="0" applyAlignment="1" applyBorder="1" applyFont="1" applyNumberFormat="1">
      <alignment readingOrder="0"/>
    </xf>
    <xf borderId="0" fillId="28" fontId="24" numFmtId="0" xfId="0" applyFont="1"/>
    <xf borderId="14" fillId="0" fontId="24" numFmtId="0" xfId="0" applyAlignment="1" applyBorder="1" applyFont="1">
      <alignment readingOrder="0"/>
    </xf>
    <xf borderId="12" fillId="0" fontId="24" numFmtId="164" xfId="0" applyAlignment="1" applyBorder="1" applyFont="1" applyNumberFormat="1">
      <alignment readingOrder="0"/>
    </xf>
    <xf borderId="13" fillId="8" fontId="44" numFmtId="171" xfId="0" applyAlignment="1" applyBorder="1" applyFont="1" applyNumberFormat="1">
      <alignment readingOrder="0"/>
    </xf>
    <xf borderId="12" fillId="0" fontId="28" numFmtId="16" xfId="0" applyBorder="1" applyFont="1" applyNumberFormat="1"/>
    <xf borderId="0" fillId="0" fontId="24" numFmtId="0" xfId="0" applyFont="1"/>
    <xf borderId="0" fillId="0" fontId="28" numFmtId="0" xfId="0" applyAlignment="1" applyFont="1">
      <alignment horizontal="left"/>
    </xf>
    <xf borderId="0" fillId="0" fontId="46" numFmtId="0" xfId="0" applyAlignment="1" applyFont="1">
      <alignment vertical="bottom"/>
    </xf>
    <xf borderId="0" fillId="0" fontId="19" numFmtId="0" xfId="0" applyAlignment="1" applyFont="1">
      <alignment vertical="bottom"/>
    </xf>
    <xf borderId="12" fillId="33" fontId="24" numFmtId="4" xfId="0" applyAlignment="1" applyBorder="1" applyFill="1" applyFont="1" applyNumberFormat="1">
      <alignment horizontal="right"/>
    </xf>
    <xf borderId="12" fillId="33" fontId="24" numFmtId="4" xfId="0" applyAlignment="1" applyBorder="1" applyFont="1" applyNumberFormat="1">
      <alignment horizontal="right" vertical="bottom"/>
    </xf>
    <xf borderId="0" fillId="0" fontId="46" numFmtId="4" xfId="0" applyAlignment="1" applyFont="1" applyNumberFormat="1">
      <alignment vertical="bottom"/>
    </xf>
    <xf borderId="0" fillId="0" fontId="24" numFmtId="4" xfId="0" applyAlignment="1" applyFont="1" applyNumberFormat="1">
      <alignment horizontal="right" vertical="bottom"/>
    </xf>
    <xf borderId="0" fillId="0" fontId="47" numFmtId="0" xfId="0" applyAlignment="1" applyFont="1">
      <alignment vertical="bottom"/>
    </xf>
    <xf borderId="2" fillId="0" fontId="33" numFmtId="172" xfId="0" applyAlignment="1" applyBorder="1" applyFont="1" applyNumberFormat="1">
      <alignment horizontal="right"/>
    </xf>
    <xf borderId="0" fillId="0" fontId="33" numFmtId="172" xfId="0" applyAlignment="1" applyFont="1" applyNumberFormat="1">
      <alignment horizontal="right" vertical="bottom"/>
    </xf>
    <xf borderId="0" fillId="0" fontId="24" numFmtId="0" xfId="0" applyAlignment="1" applyFont="1">
      <alignment vertical="bottom"/>
    </xf>
    <xf borderId="12" fillId="33" fontId="24" numFmtId="4" xfId="0" applyAlignment="1" applyBorder="1" applyFont="1" applyNumberFormat="1">
      <alignment horizontal="right" readingOrder="0"/>
    </xf>
    <xf borderId="12" fillId="33" fontId="24" numFmtId="4" xfId="0" applyAlignment="1" applyBorder="1" applyFont="1" applyNumberFormat="1">
      <alignment readingOrder="0"/>
    </xf>
    <xf borderId="12" fillId="33" fontId="46" numFmtId="4" xfId="0" applyAlignment="1" applyBorder="1" applyFont="1" applyNumberFormat="1">
      <alignment vertical="bottom"/>
    </xf>
    <xf borderId="0" fillId="0" fontId="48" numFmtId="10" xfId="0" applyAlignment="1" applyFont="1" applyNumberFormat="1">
      <alignment horizontal="right" vertical="bottom"/>
    </xf>
    <xf borderId="0" fillId="0" fontId="24" numFmtId="10" xfId="0" applyAlignment="1" applyFont="1" applyNumberFormat="1">
      <alignment horizontal="right" vertical="bottom"/>
    </xf>
    <xf borderId="0" fillId="0" fontId="24" numFmtId="172" xfId="0" applyAlignment="1" applyFont="1" applyNumberFormat="1">
      <alignment horizontal="right" vertical="bottom"/>
    </xf>
    <xf borderId="0" fillId="0" fontId="24" numFmtId="172" xfId="0" applyAlignment="1" applyFont="1" applyNumberFormat="1">
      <alignment vertical="bottom"/>
    </xf>
    <xf borderId="0" fillId="0" fontId="49" numFmtId="4" xfId="0" applyAlignment="1" applyFont="1" applyNumberFormat="1">
      <alignment vertical="bottom"/>
    </xf>
    <xf borderId="0" fillId="0" fontId="46" numFmtId="172" xfId="0" applyAlignment="1" applyFont="1" applyNumberFormat="1">
      <alignment vertical="bottom"/>
    </xf>
    <xf borderId="0" fillId="0" fontId="19" numFmtId="4" xfId="0" applyAlignment="1" applyFont="1" applyNumberFormat="1">
      <alignment horizontal="right" vertical="bottom"/>
    </xf>
    <xf borderId="0" fillId="0" fontId="19" numFmtId="0" xfId="0" applyAlignment="1" applyFont="1">
      <alignment horizontal="center" vertical="bottom"/>
    </xf>
    <xf borderId="0" fillId="0" fontId="19" numFmtId="4" xfId="0" applyAlignment="1" applyFont="1" applyNumberFormat="1">
      <alignment vertical="bottom"/>
    </xf>
    <xf borderId="0" fillId="0" fontId="28" numFmtId="172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7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50" numFmtId="0" xfId="0" applyAlignment="1" applyFont="1">
      <alignment horizontal="left" readingOrder="0" shrinkToFit="0" vertical="center" wrapText="0"/>
    </xf>
    <xf borderId="35" fillId="32" fontId="7" numFmtId="0" xfId="0" applyAlignment="1" applyBorder="1" applyFont="1">
      <alignment readingOrder="0" shrinkToFit="0" vertical="center" wrapText="0"/>
    </xf>
    <xf borderId="36" fillId="8" fontId="16" numFmtId="0" xfId="0" applyAlignment="1" applyBorder="1" applyFont="1">
      <alignment shrinkToFit="0" vertical="center" wrapText="0"/>
    </xf>
    <xf borderId="37" fillId="34" fontId="51" numFmtId="0" xfId="0" applyAlignment="1" applyBorder="1" applyFill="1" applyFont="1">
      <alignment shrinkToFit="0" vertical="center" wrapText="0"/>
    </xf>
    <xf borderId="38" fillId="0" fontId="1" numFmtId="0" xfId="0" applyAlignment="1" applyBorder="1" applyFont="1">
      <alignment readingOrder="0" shrinkToFit="0" vertical="center" wrapText="0"/>
    </xf>
    <xf borderId="39" fillId="0" fontId="1" numFmtId="0" xfId="0" applyAlignment="1" applyBorder="1" applyFont="1">
      <alignment readingOrder="0" shrinkToFit="0" vertical="center" wrapText="0"/>
    </xf>
    <xf borderId="40" fillId="35" fontId="16" numFmtId="0" xfId="0" applyAlignment="1" applyBorder="1" applyFill="1" applyFont="1">
      <alignment shrinkToFit="0" vertical="center" wrapText="0"/>
    </xf>
    <xf borderId="41" fillId="35" fontId="51" numFmtId="0" xfId="0" applyAlignment="1" applyBorder="1" applyFont="1">
      <alignment shrinkToFit="0" vertical="center" wrapText="0"/>
    </xf>
    <xf borderId="41" fillId="35" fontId="51" numFmtId="0" xfId="0" applyAlignment="1" applyBorder="1" applyFont="1">
      <alignment readingOrder="0" shrinkToFit="0" vertical="center" wrapText="0"/>
    </xf>
    <xf borderId="42" fillId="0" fontId="1" numFmtId="0" xfId="0" applyAlignment="1" applyBorder="1" applyFont="1">
      <alignment readingOrder="0" shrinkToFit="0" vertical="center" wrapText="0"/>
    </xf>
    <xf borderId="43" fillId="0" fontId="1" numFmtId="0" xfId="0" applyAlignment="1" applyBorder="1" applyFont="1">
      <alignment readingOrder="0" shrinkToFit="0" vertical="center" wrapText="0"/>
    </xf>
    <xf borderId="44" fillId="8" fontId="51" numFmtId="0" xfId="0" applyAlignment="1" applyBorder="1" applyFont="1">
      <alignment shrinkToFit="0" vertical="center" wrapText="0"/>
    </xf>
    <xf borderId="44" fillId="8" fontId="51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43" fillId="0" fontId="1" numFmtId="0" xfId="0" applyAlignment="1" applyBorder="1" applyFont="1">
      <alignment shrinkToFit="0" vertical="center" wrapText="0"/>
    </xf>
    <xf borderId="45" fillId="35" fontId="51" numFmtId="0" xfId="0" applyAlignment="1" applyBorder="1" applyFont="1">
      <alignment shrinkToFit="0" vertical="center" wrapText="0"/>
    </xf>
    <xf borderId="45" fillId="35" fontId="51" numFmtId="0" xfId="0" applyAlignment="1" applyBorder="1" applyFont="1">
      <alignment readingOrder="0" shrinkToFit="0" vertical="center" wrapText="0"/>
    </xf>
    <xf borderId="44" fillId="8" fontId="16" numFmtId="0" xfId="0" applyAlignment="1" applyBorder="1" applyFont="1">
      <alignment readingOrder="0" shrinkToFit="0" vertical="center" wrapText="0"/>
    </xf>
    <xf borderId="42" fillId="0" fontId="1" numFmtId="0" xfId="0" applyAlignment="1" applyBorder="1" applyFont="1">
      <alignment shrinkToFit="0" vertical="center" wrapText="0"/>
    </xf>
    <xf borderId="45" fillId="35" fontId="16" numFmtId="0" xfId="0" applyAlignment="1" applyBorder="1" applyFont="1">
      <alignment readingOrder="0" shrinkToFit="0" vertical="center" wrapText="0"/>
    </xf>
    <xf borderId="44" fillId="8" fontId="16" numFmtId="0" xfId="0" applyAlignment="1" applyBorder="1" applyFont="1">
      <alignment shrinkToFit="0" vertical="center" wrapText="0"/>
    </xf>
    <xf borderId="45" fillId="35" fontId="16" numFmtId="0" xfId="0" applyAlignment="1" applyBorder="1" applyFont="1">
      <alignment shrinkToFit="0" vertical="center" wrapText="0"/>
    </xf>
    <xf borderId="46" fillId="0" fontId="1" numFmtId="0" xfId="0" applyAlignment="1" applyBorder="1" applyFont="1">
      <alignment shrinkToFit="0" vertical="center" wrapText="0"/>
    </xf>
    <xf borderId="47" fillId="0" fontId="1" numFmtId="0" xfId="0" applyAlignment="1" applyBorder="1" applyFont="1">
      <alignment shrinkToFit="0" vertical="center" wrapText="0"/>
    </xf>
    <xf borderId="48" fillId="35" fontId="16" numFmtId="0" xfId="0" applyAlignment="1" applyBorder="1" applyFont="1">
      <alignment shrinkToFit="0" vertical="center" wrapText="0"/>
    </xf>
    <xf borderId="49" fillId="35" fontId="16" numFmtId="0" xfId="0" applyAlignment="1" applyBorder="1" applyFont="1">
      <alignment shrinkToFit="0" vertical="center" wrapText="0"/>
    </xf>
    <xf borderId="49" fillId="35" fontId="16" numFmtId="0" xfId="0" applyAlignment="1" applyBorder="1" applyFont="1">
      <alignment readingOrder="0" shrinkToFit="0" vertical="center" wrapText="0"/>
    </xf>
    <xf borderId="50" fillId="35" fontId="16" numFmtId="0" xfId="0" applyAlignment="1" applyBorder="1" applyFont="1">
      <alignment shrinkToFit="0" vertical="center" wrapText="0"/>
    </xf>
    <xf borderId="51" fillId="0" fontId="1" numFmtId="0" xfId="0" applyAlignment="1" applyBorder="1" applyFont="1">
      <alignment shrinkToFit="0" vertical="center" wrapText="0"/>
    </xf>
    <xf borderId="52" fillId="0" fontId="1" numFmtId="0" xfId="0" applyAlignment="1" applyBorder="1" applyFont="1">
      <alignment shrinkToFit="0" vertical="center" wrapText="0"/>
    </xf>
    <xf borderId="53" fillId="8" fontId="16" numFmtId="0" xfId="0" applyAlignment="1" applyBorder="1" applyFont="1">
      <alignment shrinkToFit="0" vertical="center" wrapText="0"/>
    </xf>
    <xf borderId="54" fillId="8" fontId="16" numFmtId="0" xfId="0" applyAlignment="1" applyBorder="1" applyFont="1">
      <alignment readingOrder="0" shrinkToFit="0" vertical="center" wrapText="0"/>
    </xf>
    <xf borderId="54" fillId="8" fontId="16" numFmtId="0" xfId="0" applyAlignment="1" applyBorder="1" applyFont="1">
      <alignment shrinkToFit="0" vertical="center" wrapText="0"/>
    </xf>
    <xf borderId="55" fillId="35" fontId="16" numFmtId="0" xfId="0" applyAlignment="1" applyBorder="1" applyFont="1">
      <alignment shrinkToFit="0" vertical="center" wrapText="0"/>
    </xf>
    <xf borderId="56" fillId="35" fontId="16" numFmtId="0" xfId="0" applyAlignment="1" applyBorder="1" applyFont="1">
      <alignment shrinkToFit="0" vertical="center" wrapText="0"/>
    </xf>
    <xf borderId="35" fillId="32" fontId="1" numFmtId="0" xfId="0" applyAlignment="1" applyBorder="1" applyFont="1">
      <alignment readingOrder="0" shrinkToFit="0" vertical="center" wrapText="0"/>
    </xf>
    <xf borderId="51" fillId="0" fontId="1" numFmtId="0" xfId="0" applyAlignment="1" applyBorder="1" applyFont="1">
      <alignment readingOrder="0" shrinkToFit="0" vertical="center" wrapText="0"/>
    </xf>
    <xf borderId="57" fillId="0" fontId="52" numFmtId="0" xfId="0" applyAlignment="1" applyBorder="1" applyFont="1">
      <alignment shrinkToFit="0" vertical="bottom" wrapText="1"/>
    </xf>
    <xf borderId="57" fillId="0" fontId="20" numFmtId="0" xfId="0" applyBorder="1" applyFont="1"/>
  </cellXfs>
  <cellStyles count="1">
    <cellStyle xfId="0" name="Normal" builtinId="0"/>
  </cellStyles>
  <dxfs count="23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6CFE1"/>
          <bgColor rgb="FFD6CFE1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0000D4"/>
          <bgColor rgb="FF0000D4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10">
    <tableStyle count="5" pivot="0" name="%Accettato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%Accettato-style 2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5" pivot="0" name="CONSUNTIVO-style">
      <tableStyleElement dxfId="1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5" pivot="0" name="CONSUNTIVO-style 2">
      <tableStyleElement dxfId="1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4" pivot="0" name="Elenco Dip Sedi-style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Elenco Dip Sedi-style 2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Elenco Dip Sedi-style 3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Elenco Dip Sedi-style 4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Elenco Dip Sedi-style 5">
      <tableStyleElement dxfId="6" type="headerRow"/>
      <tableStyleElement dxfId="2" type="firstRowStripe"/>
      <tableStyleElement dxfId="3" type="secondRowStripe"/>
      <tableStyleElement dxfId="5" size="0" type="wholeTable"/>
    </tableStyle>
    <tableStyle count="4" pivot="0" name="Elenco Dip Sedi-style 6">
      <tableStyleElement dxfId="6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19050</xdr:rowOff>
    </xdr:from>
    <xdr:ext cx="3514725" cy="581025"/>
    <xdr:sp>
      <xdr:nvSpPr>
        <xdr:cNvPr id="3" name="Shape 3"/>
        <xdr:cNvSpPr/>
      </xdr:nvSpPr>
      <xdr:spPr>
        <a:xfrm>
          <a:off x="3212825" y="914375"/>
          <a:ext cx="3264379" cy="565475"/>
        </a:xfrm>
        <a:prstGeom prst="rect">
          <a:avLst/>
        </a:prstGeom>
      </xdr:spPr>
      <xdr:txBody>
        <a:bodyPr>
          <a:prstTxWarp prst="textPlain"/>
        </a:bodyPr>
        <a:lstStyle/>
        <a:p>
          <a:pPr lvl="0" algn="ctr"/>
          <a:r>
            <a:rPr b="0" i="0">
              <a:ln cap="flat" cmpd="sng" w="9525">
                <a:solidFill>
                  <a:srgbClr val="CFE2F3"/>
                </a:solidFill>
                <a:prstDash val="solid"/>
                <a:round/>
                <a:headEnd len="sm" w="sm" type="none"/>
                <a:tailEnd len="sm" w="sm" type="none"/>
              </a:ln>
              <a:solidFill>
                <a:srgbClr val="FFFFFF"/>
              </a:solidFill>
              <a:latin typeface="Arial"/>
            </a:rPr>
            <a:t>Opportunità di Vendita</a:t>
          </a:r>
        </a:p>
      </xdr:txBody>
    </xdr:sp>
    <xdr:clientData fLocksWithSheet="0"/>
  </xdr:oneCellAnchor>
  <xdr:oneCellAnchor>
    <xdr:from>
      <xdr:col>3</xdr:col>
      <xdr:colOff>361950</xdr:colOff>
      <xdr:row>0</xdr:row>
      <xdr:rowOff>114300</xdr:rowOff>
    </xdr:from>
    <xdr:ext cx="666750" cy="666750"/>
    <xdr:pic>
      <xdr:nvPicPr>
        <xdr:cNvPr id="0" name="image1.jp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391546744" name="Chart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167573899" name="Chart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474118273" name="Chart3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982278445" name="Chart4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988249941" name="Chart5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222116023" name="Chart6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427900905" name="Chart7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25669455" name="Chart8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73504338" name="Chart9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249958176" name="Chart10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940265308" name="Chart11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76200</xdr:rowOff>
    </xdr:from>
    <xdr:ext cx="2543175" cy="1790700"/>
    <xdr:pic>
      <xdr:nvPicPr>
        <xdr:cNvPr id="1212646496" name="Chart12" title="Gra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28575</xdr:rowOff>
    </xdr:from>
    <xdr:ext cx="952500" cy="1019175"/>
    <xdr:pic>
      <xdr:nvPicPr>
        <xdr:cNvPr id="0" name="image2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E14" displayName="TAB_3" name="TAB_3" id="1">
  <tableColumns count="5">
    <tableColumn name="MESE" id="1"/>
    <tableColumn name="POSITIVI" id="2"/>
    <tableColumn name="NEGATIVI" id="3"/>
    <tableColumn name="% Accettato" id="4"/>
    <tableColumn name="% Non Accettato" id="5"/>
  </tableColumns>
  <tableStyleInfo name="%Accettato-style" showColumnStripes="0" showFirstColumn="1" showLastColumn="1" showRowStripes="1"/>
</table>
</file>

<file path=xl/tables/table2.xml><?xml version="1.0" encoding="utf-8"?>
<table xmlns="http://schemas.openxmlformats.org/spreadsheetml/2006/main" ref="G1:K2" displayName="TAB_4" name="TAB_4" id="2">
  <tableColumns count="5">
    <tableColumn name="OPPORTUNITA' DI VENDITA" id="1"/>
    <tableColumn name="POSITIVI" id="2"/>
    <tableColumn name="NEGATIVI" id="3"/>
    <tableColumn name="% Accettato" id="4"/>
    <tableColumn name="% Non Accettato" id="5"/>
  </tableColumns>
  <tableStyleInfo name="%Accettato-style 2" showColumnStripes="0" showFirstColumn="1" showLastColumn="1" showRowStripes="1"/>
</table>
</file>

<file path=xl/tables/table3.xml><?xml version="1.0" encoding="utf-8"?>
<table xmlns="http://schemas.openxmlformats.org/spreadsheetml/2006/main" totalsRowCount="1" ref="B3:S20" displayName="TAB_1" name="TAB_1" id="3">
  <tableColumns count="18">
    <tableColumn name="Consuntivo Annuale" id="1"/>
    <tableColumn name="Opp.tà di Vendita" id="2"/>
    <tableColumn name="Colonna 2" id="3"/>
    <tableColumn name="Preventivato Mese ACCETTATO" id="4"/>
    <tableColumn name="1" id="5"/>
    <tableColumn name="2" id="6"/>
    <tableColumn name="3" id="7"/>
    <tableColumn name="4" id="8"/>
    <tableColumn name="5" id="9"/>
    <tableColumn name="6" id="10"/>
    <tableColumn name="7" id="11"/>
    <tableColumn name="8" id="12"/>
    <tableColumn name="9" id="13"/>
    <tableColumn name="10" id="14"/>
    <tableColumn name="11" id="15"/>
    <tableColumn name="12" id="16"/>
    <tableColumn name="TOTALE" id="17"/>
    <tableColumn name=",," id="18"/>
  </tableColumns>
  <tableStyleInfo name="CONSUNTIVO-style" showColumnStripes="0" showFirstColumn="1" showLastColumn="1" showRowStripes="1"/>
</table>
</file>

<file path=xl/tables/table4.xml><?xml version="1.0" encoding="utf-8"?>
<table xmlns="http://schemas.openxmlformats.org/spreadsheetml/2006/main" totalsRowCount="1" ref="B24:S41" displayName="TAB_2" name="TAB_2" id="4">
  <tableColumns count="18">
    <tableColumn name="Consuntivo Annuale" id="1"/>
    <tableColumn name="Opp.tà di Vendita" id="2"/>
    <tableColumn name="Colonna 2" id="3"/>
    <tableColumn name="Preventivato Mese RIFIUTATO" id="4"/>
    <tableColumn name="1" id="5"/>
    <tableColumn name="2" id="6"/>
    <tableColumn name="3" id="7"/>
    <tableColumn name="4" id="8"/>
    <tableColumn name="5" id="9"/>
    <tableColumn name="6" id="10"/>
    <tableColumn name="7" id="11"/>
    <tableColumn name="8" id="12"/>
    <tableColumn name="9" id="13"/>
    <tableColumn name="10" id="14"/>
    <tableColumn name="11" id="15"/>
    <tableColumn name="12" id="16"/>
    <tableColumn name="TOTALE" id="17"/>
    <tableColumn name=",," id="18"/>
  </tableColumns>
  <tableStyleInfo name="CONSUNTIVO-style 2" showColumnStripes="0" showFirstColumn="1" showLastColumn="1" showRowStripes="1"/>
</table>
</file>

<file path=xl/tables/table5.xml><?xml version="1.0" encoding="utf-8"?>
<table xmlns="http://schemas.openxmlformats.org/spreadsheetml/2006/main" ref="B3:D32" displayName="Tabella_3" name="Tabella_3" id="5">
  <tableColumns count="3">
    <tableColumn name="VILLA BETANIA" id="1"/>
    <tableColumn name="1" id="2"/>
    <tableColumn name="2" id="3"/>
  </tableColumns>
  <tableStyleInfo name="Elenco Dip Sedi-style" showColumnStripes="0" showFirstColumn="1" showLastColumn="1" showRowStripes="1"/>
</table>
</file>

<file path=xl/tables/table6.xml><?xml version="1.0" encoding="utf-8"?>
<table xmlns="http://schemas.openxmlformats.org/spreadsheetml/2006/main" ref="F3:H32" displayName="Tabella_2" name="Tabella_2" id="6">
  <tableColumns count="3">
    <tableColumn name="Colonna 1" id="1"/>
    <tableColumn name="Colonna 2" id="2"/>
    <tableColumn name="Colonna 3" id="3"/>
  </tableColumns>
  <tableStyleInfo name="Elenco Dip Sedi-style 2" showColumnStripes="0" showFirstColumn="1" showLastColumn="1" showRowStripes="1"/>
</table>
</file>

<file path=xl/tables/table7.xml><?xml version="1.0" encoding="utf-8"?>
<table xmlns="http://schemas.openxmlformats.org/spreadsheetml/2006/main" ref="J3:K33" displayName="Tabella_5" name="Tabella_5" id="7">
  <tableColumns count="2">
    <tableColumn name="Mod. di Pag." id="1"/>
    <tableColumn name="1" id="2"/>
  </tableColumns>
  <tableStyleInfo name="Elenco Dip Sedi-style 3" showColumnStripes="0" showFirstColumn="1" showLastColumn="1" showRowStripes="1"/>
</table>
</file>

<file path=xl/tables/table8.xml><?xml version="1.0" encoding="utf-8"?>
<table xmlns="http://schemas.openxmlformats.org/spreadsheetml/2006/main" ref="M3:N32" displayName="Tabella_6" name="Tabella_6" id="8">
  <tableColumns count="2">
    <tableColumn name="Provenienza" id="1"/>
    <tableColumn name="1" id="2"/>
  </tableColumns>
  <tableStyleInfo name="Elenco Dip Sedi-style 4" showColumnStripes="0" showFirstColumn="1" showLastColumn="1" showRowStripes="1"/>
</table>
</file>

<file path=xl/tables/table9.xml><?xml version="1.0" encoding="utf-8"?>
<table xmlns="http://schemas.openxmlformats.org/spreadsheetml/2006/main" ref="B38:D58" displayName="Tabella_4" name="Tabella_4" id="9">
  <tableColumns count="3">
    <tableColumn name="Colonna 1" id="1"/>
    <tableColumn name="Colonna 2" id="2"/>
    <tableColumn name="Colonna 3" id="3"/>
  </tableColumns>
  <tableStyleInfo name="Elenco Dip Sedi-style 5" showColumnStripes="0" showFirstColumn="1" showLastColumn="1" showRowStripes="1"/>
</table>
</file>

<file path=xl/tables/table10.xml><?xml version="1.0" encoding="utf-8"?>
<table xmlns="http://schemas.openxmlformats.org/spreadsheetml/2006/main" ref="F38:H58" displayName="Tabella_1" name="Tabella_1" id="10">
  <tableColumns count="3">
    <tableColumn name="Colonna 1" id="1"/>
    <tableColumn name="Colonna 2" id="2"/>
    <tableColumn name="Colonna 3" id="3"/>
  </tableColumns>
  <tableStyleInfo name="Elenco Dip Sedi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8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D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5.75"/>
    <col customWidth="1" min="3" max="4" width="19.25"/>
    <col customWidth="1" min="5" max="5" width="24.0"/>
    <col customWidth="1" min="7" max="7" width="29.38"/>
    <col customWidth="1" min="8" max="9" width="13.0"/>
    <col customWidth="1" min="10" max="10" width="15.25"/>
    <col customWidth="1" min="11" max="11" width="19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G1" s="3" t="s">
        <v>5</v>
      </c>
      <c r="H1" s="1" t="s">
        <v>1</v>
      </c>
      <c r="I1" s="1" t="s">
        <v>2</v>
      </c>
      <c r="J1" s="2" t="s">
        <v>3</v>
      </c>
      <c r="K1" s="2" t="s">
        <v>4</v>
      </c>
    </row>
    <row r="2" ht="22.5" customHeight="1">
      <c r="A2" s="4" t="s">
        <v>6</v>
      </c>
      <c r="B2" s="5">
        <f t="shared" ref="B2:B13" si="1">COUNTIF(INDIRECT("'" &amp; $A2 &amp; "'!$A$11:$A$1000"), "INZIA IL TRATTAMENTO-VENDITA")</f>
        <v>15</v>
      </c>
      <c r="C2" s="5">
        <f t="shared" ref="C2:C13" si="2">COUNTIF(INDIRECT("'" &amp; $A2 &amp; "'!$A$11:$A$1000"), "NESSUNA VENDITA")</f>
        <v>14</v>
      </c>
      <c r="D2" s="6">
        <f t="shared" ref="D2:D13" si="3">IFERROR(B2 / (B2 + C2), 0)</f>
        <v>0.5172413793</v>
      </c>
      <c r="E2" s="7">
        <f t="shared" ref="E2:E13" si="4">IFERROR(C2 / (B2 + C2), 0)</f>
        <v>0.4827586207</v>
      </c>
      <c r="G2" s="8" t="s">
        <v>5</v>
      </c>
      <c r="H2" s="5">
        <f t="array" ref="H2">COUNTIF(INDIRECT("'" &amp; $G2 &amp; "'!$B$198:$B$1000"), "ESEGUITO")</f>
        <v>5</v>
      </c>
      <c r="I2" s="5">
        <f t="array" ref="I2">COUNTIF(INDIRECT("'" &amp; $G2 &amp; "'!$B$198:$B$1000"), "NON ESEGUITO")</f>
        <v>0</v>
      </c>
      <c r="J2" s="6">
        <f>IFERROR(H2 / (H2 + I2), 0)</f>
        <v>1</v>
      </c>
      <c r="K2" s="7">
        <f>IFERROR(I2 / (H2 + I2), 0)</f>
        <v>0</v>
      </c>
    </row>
    <row r="3" ht="22.5" customHeight="1">
      <c r="A3" s="8" t="s">
        <v>7</v>
      </c>
      <c r="B3" s="5">
        <f t="shared" si="1"/>
        <v>32</v>
      </c>
      <c r="C3" s="5">
        <f t="shared" si="2"/>
        <v>12</v>
      </c>
      <c r="D3" s="6">
        <f t="shared" si="3"/>
        <v>0.7272727273</v>
      </c>
      <c r="E3" s="7">
        <f t="shared" si="4"/>
        <v>0.2727272727</v>
      </c>
    </row>
    <row r="4" ht="22.5" customHeight="1">
      <c r="A4" s="8" t="s">
        <v>8</v>
      </c>
      <c r="B4" s="5">
        <f t="shared" si="1"/>
        <v>29</v>
      </c>
      <c r="C4" s="5">
        <f t="shared" si="2"/>
        <v>21</v>
      </c>
      <c r="D4" s="6">
        <f t="shared" si="3"/>
        <v>0.58</v>
      </c>
      <c r="E4" s="7">
        <f t="shared" si="4"/>
        <v>0.42</v>
      </c>
    </row>
    <row r="5" ht="22.5" customHeight="1">
      <c r="A5" s="8" t="s">
        <v>9</v>
      </c>
      <c r="B5" s="5">
        <f t="shared" si="1"/>
        <v>20</v>
      </c>
      <c r="C5" s="5">
        <f t="shared" si="2"/>
        <v>22</v>
      </c>
      <c r="D5" s="6">
        <f t="shared" si="3"/>
        <v>0.4761904762</v>
      </c>
      <c r="E5" s="7">
        <f t="shared" si="4"/>
        <v>0.5238095238</v>
      </c>
    </row>
    <row r="6" ht="22.5" customHeight="1">
      <c r="A6" s="9" t="s">
        <v>10</v>
      </c>
      <c r="B6" s="5">
        <f t="shared" si="1"/>
        <v>31</v>
      </c>
      <c r="C6" s="5">
        <f t="shared" si="2"/>
        <v>7</v>
      </c>
      <c r="D6" s="6">
        <f t="shared" si="3"/>
        <v>0.8157894737</v>
      </c>
      <c r="E6" s="7">
        <f t="shared" si="4"/>
        <v>0.1842105263</v>
      </c>
    </row>
    <row r="7" ht="22.5" customHeight="1">
      <c r="A7" s="9" t="s">
        <v>11</v>
      </c>
      <c r="B7" s="5">
        <f t="shared" si="1"/>
        <v>21</v>
      </c>
      <c r="C7" s="5">
        <f t="shared" si="2"/>
        <v>2</v>
      </c>
      <c r="D7" s="6">
        <f t="shared" si="3"/>
        <v>0.9130434783</v>
      </c>
      <c r="E7" s="7">
        <f t="shared" si="4"/>
        <v>0.08695652174</v>
      </c>
    </row>
    <row r="8" ht="22.5" customHeight="1">
      <c r="A8" s="8" t="s">
        <v>12</v>
      </c>
      <c r="B8" s="5">
        <f t="shared" si="1"/>
        <v>0</v>
      </c>
      <c r="C8" s="5">
        <f t="shared" si="2"/>
        <v>0</v>
      </c>
      <c r="D8" s="6">
        <f t="shared" si="3"/>
        <v>0</v>
      </c>
      <c r="E8" s="7">
        <f t="shared" si="4"/>
        <v>0</v>
      </c>
    </row>
    <row r="9" ht="22.5" customHeight="1">
      <c r="A9" s="8" t="s">
        <v>13</v>
      </c>
      <c r="B9" s="5">
        <f t="shared" si="1"/>
        <v>0</v>
      </c>
      <c r="C9" s="5">
        <f t="shared" si="2"/>
        <v>0</v>
      </c>
      <c r="D9" s="6">
        <f t="shared" si="3"/>
        <v>0</v>
      </c>
      <c r="E9" s="7">
        <f t="shared" si="4"/>
        <v>0</v>
      </c>
    </row>
    <row r="10" ht="22.5" customHeight="1">
      <c r="A10" s="8" t="s">
        <v>14</v>
      </c>
      <c r="B10" s="5">
        <f t="shared" si="1"/>
        <v>0</v>
      </c>
      <c r="C10" s="5">
        <f t="shared" si="2"/>
        <v>0</v>
      </c>
      <c r="D10" s="6">
        <f t="shared" si="3"/>
        <v>0</v>
      </c>
      <c r="E10" s="7">
        <f t="shared" si="4"/>
        <v>0</v>
      </c>
    </row>
    <row r="11" ht="22.5" customHeight="1">
      <c r="A11" s="8" t="s">
        <v>15</v>
      </c>
      <c r="B11" s="5">
        <f t="shared" si="1"/>
        <v>0</v>
      </c>
      <c r="C11" s="5">
        <f t="shared" si="2"/>
        <v>0</v>
      </c>
      <c r="D11" s="6">
        <f t="shared" si="3"/>
        <v>0</v>
      </c>
      <c r="E11" s="7">
        <f t="shared" si="4"/>
        <v>0</v>
      </c>
    </row>
    <row r="12" ht="22.5" customHeight="1">
      <c r="A12" s="8" t="s">
        <v>16</v>
      </c>
      <c r="B12" s="5">
        <f t="shared" si="1"/>
        <v>0</v>
      </c>
      <c r="C12" s="5">
        <f t="shared" si="2"/>
        <v>0</v>
      </c>
      <c r="D12" s="6">
        <f t="shared" si="3"/>
        <v>0</v>
      </c>
      <c r="E12" s="7">
        <f t="shared" si="4"/>
        <v>0</v>
      </c>
    </row>
    <row r="13" ht="22.5" customHeight="1">
      <c r="A13" s="8" t="s">
        <v>17</v>
      </c>
      <c r="B13" s="5">
        <f t="shared" si="1"/>
        <v>0</v>
      </c>
      <c r="C13" s="5">
        <f t="shared" si="2"/>
        <v>0</v>
      </c>
      <c r="D13" s="6">
        <f t="shared" si="3"/>
        <v>0</v>
      </c>
      <c r="E13" s="7">
        <f t="shared" si="4"/>
        <v>0</v>
      </c>
    </row>
    <row r="14" ht="9.75" customHeight="1">
      <c r="A14" s="10"/>
      <c r="B14" s="10"/>
      <c r="C14" s="10"/>
      <c r="D14" s="10"/>
      <c r="E14" s="10"/>
    </row>
  </sheetData>
  <dataValidations>
    <dataValidation type="custom" allowBlank="1" showDropDown="1" sqref="D2:E13">
      <formula1>AND(ISNUMBER(D2),(NOT(OR(NOT(ISERROR(DATEVALUE(D2))), AND(ISNUMBER(D2), LEFT(CELL("format", D2))="D")))))</formula1>
    </dataValidation>
  </dataValidations>
  <hyperlinks>
    <hyperlink display="GENNAIO" location="GENNAIO!A1" ref="A2"/>
    <hyperlink display="OPPORTUNITA' DI VENDITA" location="'OPPORTUNITA DI VENDITA'!A1" ref="G2"/>
    <hyperlink display="FEBBRAIO" location="FEBBRAIO!A1" ref="A3"/>
    <hyperlink display="MARZO" location="MARZO!A1" ref="A4"/>
    <hyperlink display="APRILE" location="APRILE!A1" ref="A5"/>
    <hyperlink display="LUGLIO" location="LUGLIO!A1" ref="A8"/>
    <hyperlink display="AGOSTO" location="AGOSTO!A1" ref="A9"/>
    <hyperlink display="SETTEMBRE" location="SETTEMBRE!A1" ref="A10"/>
    <hyperlink display="OTTOBRE" location="OTTOBRE!A1" ref="A11"/>
    <hyperlink display="NOVEMBRE" location="NOVEMBRE!A1" ref="A12"/>
    <hyperlink display="DICEMBRE" location="DICEMBRE!A1" ref="A13"/>
  </hyperlink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080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8.0"/>
    <col customWidth="1" min="3" max="3" width="17.38"/>
    <col customWidth="1" min="4" max="4" width="1.5"/>
    <col customWidth="1" min="5" max="5" width="28.38"/>
    <col customWidth="1" min="6" max="6" width="13.5"/>
    <col customWidth="1" min="7" max="12" width="13.0"/>
    <col customWidth="1" min="13" max="17" width="13.88"/>
    <col customWidth="1" min="18" max="18" width="16.88"/>
    <col customWidth="1" min="19" max="19" width="25.75"/>
  </cols>
  <sheetData>
    <row r="1" ht="15.0" customHeight="1">
      <c r="E1" s="11" t="s">
        <v>18</v>
      </c>
    </row>
    <row r="2">
      <c r="C2" s="12"/>
    </row>
    <row r="3" ht="22.5" customHeight="1">
      <c r="B3" s="1" t="s">
        <v>19</v>
      </c>
      <c r="C3" s="13" t="s">
        <v>20</v>
      </c>
      <c r="D3" s="1" t="s">
        <v>21</v>
      </c>
      <c r="E3" s="14" t="s">
        <v>22</v>
      </c>
      <c r="F3" s="15" t="s">
        <v>23</v>
      </c>
      <c r="G3" s="15" t="s">
        <v>24</v>
      </c>
      <c r="H3" s="15" t="s">
        <v>25</v>
      </c>
      <c r="I3" s="15" t="s">
        <v>26</v>
      </c>
      <c r="J3" s="15" t="s">
        <v>27</v>
      </c>
      <c r="K3" s="15" t="s">
        <v>28</v>
      </c>
      <c r="L3" s="15" t="s">
        <v>29</v>
      </c>
      <c r="M3" s="15" t="s">
        <v>30</v>
      </c>
      <c r="N3" s="15" t="s">
        <v>31</v>
      </c>
      <c r="O3" s="15" t="s">
        <v>32</v>
      </c>
      <c r="P3" s="15" t="s">
        <v>33</v>
      </c>
      <c r="Q3" s="15" t="s">
        <v>34</v>
      </c>
      <c r="R3" s="16" t="s">
        <v>35</v>
      </c>
      <c r="S3" s="16" t="s">
        <v>36</v>
      </c>
    </row>
    <row r="4" ht="22.5" customHeight="1">
      <c r="D4" s="17"/>
      <c r="F4" s="18" t="s">
        <v>37</v>
      </c>
      <c r="G4" s="18" t="s">
        <v>38</v>
      </c>
      <c r="H4" s="18" t="s">
        <v>39</v>
      </c>
      <c r="I4" s="18" t="s">
        <v>40</v>
      </c>
      <c r="J4" s="18" t="s">
        <v>41</v>
      </c>
      <c r="K4" s="18" t="s">
        <v>42</v>
      </c>
      <c r="L4" s="18" t="s">
        <v>43</v>
      </c>
      <c r="M4" s="18" t="s">
        <v>44</v>
      </c>
      <c r="N4" s="18" t="s">
        <v>45</v>
      </c>
      <c r="O4" s="18" t="s">
        <v>46</v>
      </c>
      <c r="P4" s="18" t="s">
        <v>47</v>
      </c>
      <c r="Q4" s="18" t="s">
        <v>48</v>
      </c>
      <c r="R4" s="19"/>
      <c r="S4" s="20"/>
    </row>
    <row r="5" ht="22.5" customHeight="1">
      <c r="B5" s="21" t="s">
        <v>49</v>
      </c>
      <c r="C5" s="22">
        <f>SUMIFS('OPPORTUNITA DI VENDITA'!$J$198:$J$1000, 'OPPORTUNITA DI VENDITA'!$H$198:$H$1000, B5, 'OPPORTUNITA DI VENDITA'!$B$198:$B$1000, "ESEGUITO")</f>
        <v>0</v>
      </c>
      <c r="D5" s="17"/>
      <c r="E5" s="21" t="s">
        <v>49</v>
      </c>
      <c r="F5" s="22">
        <f t="shared" ref="F5:F18" si="2">SUMIFS(INDIRECT("'" &amp; $F$4 &amp; "'!$I$11:$I$1000"), INDIRECT("'" &amp; $F$4 &amp; "'!$G$11:$G$1000"), $E5, INDIRECT("'" &amp; $F$4 &amp; "'!$A$11:$A$1000"), "INZIA IL TRATTAMENTO-VENDITA")</f>
        <v>3285</v>
      </c>
      <c r="G5" s="22">
        <f t="shared" ref="G5:G18" si="3">SUMIFS(INDIRECT("'" &amp; $G$4 &amp; "'!$I$11:$I$1000"), INDIRECT("'" &amp; $G$4 &amp; "'!$G$11:$G$1000"), $E5, INDIRECT("'" &amp; $G$4 &amp; "'!$A$11:$A$1000"), "INZIA IL TRATTAMENTO-VENDITA")</f>
        <v>63368</v>
      </c>
      <c r="H5" s="22">
        <f t="shared" ref="H5:H18" si="4">SUMIFS(INDIRECT("'" &amp; $H$4 &amp; "'!$I$11:$I$1000"), INDIRECT("'" &amp; $H$4 &amp; "'!$G$11:$G$1000"), $E5, INDIRECT("'" &amp; $H$4 &amp; "'!$A$11:$A$1000"), "INZIA IL TRATTAMENTO-VENDITA")</f>
        <v>2155</v>
      </c>
      <c r="I5" s="22">
        <f t="shared" ref="I5:Q5" si="1">SUMIFS(INDIRECT("'" &amp; I$4 &amp; "'!$I$11:$I$1000"), INDIRECT("'" &amp; I$4 &amp; "'!$G$11:$G$1000"), $E5, INDIRECT("'" &amp; I$4 &amp; "'!$A$11:$A$1000"), "INZIA IL TRATTAMENTO-VENDITA")</f>
        <v>520</v>
      </c>
      <c r="J5" s="22">
        <f t="shared" si="1"/>
        <v>5637</v>
      </c>
      <c r="K5" s="22">
        <f t="shared" si="1"/>
        <v>5970</v>
      </c>
      <c r="L5" s="22">
        <f t="shared" si="1"/>
        <v>0</v>
      </c>
      <c r="M5" s="22">
        <f t="shared" si="1"/>
        <v>0</v>
      </c>
      <c r="N5" s="22">
        <f t="shared" si="1"/>
        <v>0</v>
      </c>
      <c r="O5" s="22">
        <f t="shared" si="1"/>
        <v>0</v>
      </c>
      <c r="P5" s="22">
        <f t="shared" si="1"/>
        <v>0</v>
      </c>
      <c r="Q5" s="22">
        <f t="shared" si="1"/>
        <v>0</v>
      </c>
      <c r="R5" s="23">
        <f t="shared" ref="R5:R18" si="6">SUM(C5:Q5)</f>
        <v>80935</v>
      </c>
      <c r="S5" s="24"/>
    </row>
    <row r="6" ht="22.5" customHeight="1">
      <c r="B6" s="21" t="s">
        <v>50</v>
      </c>
      <c r="C6" s="22">
        <f>SUMIFS('OPPORTUNITA DI VENDITA'!$J$198:$J$1000, 'OPPORTUNITA DI VENDITA'!$H$198:$H$1000, B6, 'OPPORTUNITA DI VENDITA'!$B$198:$B$1000, "ESEGUITO")</f>
        <v>25388</v>
      </c>
      <c r="D6" s="17"/>
      <c r="E6" s="21" t="s">
        <v>50</v>
      </c>
      <c r="F6" s="22">
        <f t="shared" si="2"/>
        <v>2280</v>
      </c>
      <c r="G6" s="22">
        <f t="shared" si="3"/>
        <v>18963</v>
      </c>
      <c r="H6" s="22">
        <f t="shared" si="4"/>
        <v>21116</v>
      </c>
      <c r="I6" s="22">
        <f t="shared" ref="I6:I18" si="7">SUMIFS(INDIRECT("'" &amp; $I$4 &amp; "'!$I$11:$I$1000"), INDIRECT("'" &amp; $I$4 &amp; "'!$G$11:$G$1000"), $E6, INDIRECT("'" &amp; $I$4 &amp; "'!$A$11:$A$1000"), "INZIA IL TRATTAMENTO-VENDITA")</f>
        <v>17210</v>
      </c>
      <c r="J6" s="22">
        <f t="shared" ref="J6:Q6" si="5">SUMIFS(INDIRECT("'" &amp; J$4 &amp; "'!$I$11:$I$1000"), INDIRECT("'" &amp; J$4 &amp; "'!$G$11:$G$1000"), $E6, INDIRECT("'" &amp; J$4 &amp; "'!$A$11:$A$1000"), "INZIA IL TRATTAMENTO-VENDITA")</f>
        <v>14170</v>
      </c>
      <c r="K6" s="22">
        <f t="shared" si="5"/>
        <v>11970</v>
      </c>
      <c r="L6" s="22">
        <f t="shared" si="5"/>
        <v>0</v>
      </c>
      <c r="M6" s="22">
        <f t="shared" si="5"/>
        <v>0</v>
      </c>
      <c r="N6" s="22">
        <f t="shared" si="5"/>
        <v>0</v>
      </c>
      <c r="O6" s="22">
        <f t="shared" si="5"/>
        <v>0</v>
      </c>
      <c r="P6" s="22">
        <f t="shared" si="5"/>
        <v>0</v>
      </c>
      <c r="Q6" s="22">
        <f t="shared" si="5"/>
        <v>0</v>
      </c>
      <c r="R6" s="23">
        <f t="shared" si="6"/>
        <v>111097</v>
      </c>
      <c r="S6" s="24"/>
    </row>
    <row r="7" ht="22.5" customHeight="1">
      <c r="B7" s="21" t="s">
        <v>51</v>
      </c>
      <c r="C7" s="22">
        <f>SUMIFS('OPPORTUNITA DI VENDITA'!$J$198:$J$1000, 'OPPORTUNITA DI VENDITA'!$H$198:$H$1000, B7, 'OPPORTUNITA DI VENDITA'!$B$198:$B$1000, "ESEGUITO")</f>
        <v>0</v>
      </c>
      <c r="D7" s="17"/>
      <c r="E7" s="21" t="s">
        <v>51</v>
      </c>
      <c r="F7" s="22">
        <f t="shared" si="2"/>
        <v>0</v>
      </c>
      <c r="G7" s="22">
        <f t="shared" si="3"/>
        <v>0</v>
      </c>
      <c r="H7" s="22">
        <f t="shared" si="4"/>
        <v>770</v>
      </c>
      <c r="I7" s="22">
        <f t="shared" si="7"/>
        <v>0</v>
      </c>
      <c r="J7" s="22">
        <f t="shared" ref="J7:Q7" si="8">SUMIFS(INDIRECT("'" &amp; J$4 &amp; "'!$I$11:$I$1000"), INDIRECT("'" &amp; J$4 &amp; "'!$G$11:$G$1000"), $E7, INDIRECT("'" &amp; J$4 &amp; "'!$A$11:$A$1000"), "INZIA IL TRATTAMENTO-VENDITA")</f>
        <v>0</v>
      </c>
      <c r="K7" s="22">
        <f t="shared" si="8"/>
        <v>0</v>
      </c>
      <c r="L7" s="22">
        <f t="shared" si="8"/>
        <v>0</v>
      </c>
      <c r="M7" s="22">
        <f t="shared" si="8"/>
        <v>0</v>
      </c>
      <c r="N7" s="22">
        <f t="shared" si="8"/>
        <v>0</v>
      </c>
      <c r="O7" s="22">
        <f t="shared" si="8"/>
        <v>0</v>
      </c>
      <c r="P7" s="22">
        <f t="shared" si="8"/>
        <v>0</v>
      </c>
      <c r="Q7" s="22">
        <f t="shared" si="8"/>
        <v>0</v>
      </c>
      <c r="R7" s="23">
        <f t="shared" si="6"/>
        <v>770</v>
      </c>
      <c r="S7" s="24"/>
    </row>
    <row r="8" ht="22.5" customHeight="1">
      <c r="B8" s="21" t="s">
        <v>52</v>
      </c>
      <c r="C8" s="22">
        <f>SUMIFS('OPPORTUNITA DI VENDITA'!$J$198:$J$1000, 'OPPORTUNITA DI VENDITA'!$H$198:$H$1000, B8, 'OPPORTUNITA DI VENDITA'!$B$198:$B$1000, "ESEGUITO")</f>
        <v>0</v>
      </c>
      <c r="D8" s="17"/>
      <c r="E8" s="21" t="s">
        <v>52</v>
      </c>
      <c r="F8" s="22">
        <f t="shared" si="2"/>
        <v>0</v>
      </c>
      <c r="G8" s="22">
        <f t="shared" si="3"/>
        <v>0</v>
      </c>
      <c r="H8" s="22">
        <f t="shared" si="4"/>
        <v>0</v>
      </c>
      <c r="I8" s="22">
        <f t="shared" si="7"/>
        <v>0</v>
      </c>
      <c r="J8" s="22">
        <f t="shared" ref="J8:Q8" si="9">SUMIFS(INDIRECT("'" &amp; J$4 &amp; "'!$I$11:$I$1000"), INDIRECT("'" &amp; J$4 &amp; "'!$G$11:$G$1000"), $E8, INDIRECT("'" &amp; J$4 &amp; "'!$A$11:$A$1000"), "INZIA IL TRATTAMENTO-VENDITA")</f>
        <v>0</v>
      </c>
      <c r="K8" s="22">
        <f t="shared" si="9"/>
        <v>0</v>
      </c>
      <c r="L8" s="22">
        <f t="shared" si="9"/>
        <v>0</v>
      </c>
      <c r="M8" s="22">
        <f t="shared" si="9"/>
        <v>0</v>
      </c>
      <c r="N8" s="22">
        <f t="shared" si="9"/>
        <v>0</v>
      </c>
      <c r="O8" s="22">
        <f t="shared" si="9"/>
        <v>0</v>
      </c>
      <c r="P8" s="22">
        <f t="shared" si="9"/>
        <v>0</v>
      </c>
      <c r="Q8" s="22">
        <f t="shared" si="9"/>
        <v>0</v>
      </c>
      <c r="R8" s="23">
        <f t="shared" si="6"/>
        <v>0</v>
      </c>
      <c r="S8" s="24"/>
    </row>
    <row r="9" ht="22.5" customHeight="1">
      <c r="B9" s="21" t="s">
        <v>53</v>
      </c>
      <c r="C9" s="22">
        <f>SUMIFS('OPPORTUNITA DI VENDITA'!$J$198:$J$1000, 'OPPORTUNITA DI VENDITA'!$H$198:$H$1000, B9, 'OPPORTUNITA DI VENDITA'!$B$198:$B$1000, "ESEGUITO")</f>
        <v>0</v>
      </c>
      <c r="D9" s="17"/>
      <c r="E9" s="21" t="s">
        <v>53</v>
      </c>
      <c r="F9" s="22">
        <f t="shared" si="2"/>
        <v>0</v>
      </c>
      <c r="G9" s="22">
        <f t="shared" si="3"/>
        <v>0</v>
      </c>
      <c r="H9" s="22">
        <f t="shared" si="4"/>
        <v>0</v>
      </c>
      <c r="I9" s="22">
        <f t="shared" si="7"/>
        <v>0</v>
      </c>
      <c r="J9" s="22">
        <f t="shared" ref="J9:Q9" si="10">SUMIFS(INDIRECT("'" &amp; J$4 &amp; "'!$I$11:$I$1000"), INDIRECT("'" &amp; J$4 &amp; "'!$G$11:$G$1000"), $E9, INDIRECT("'" &amp; J$4 &amp; "'!$A$11:$A$1000"), "INZIA IL TRATTAMENTO-VENDITA")</f>
        <v>0</v>
      </c>
      <c r="K9" s="22">
        <f t="shared" si="10"/>
        <v>0</v>
      </c>
      <c r="L9" s="22">
        <f t="shared" si="10"/>
        <v>0</v>
      </c>
      <c r="M9" s="22">
        <f t="shared" si="10"/>
        <v>0</v>
      </c>
      <c r="N9" s="22">
        <f t="shared" si="10"/>
        <v>0</v>
      </c>
      <c r="O9" s="22">
        <f t="shared" si="10"/>
        <v>0</v>
      </c>
      <c r="P9" s="22">
        <f t="shared" si="10"/>
        <v>0</v>
      </c>
      <c r="Q9" s="22">
        <f t="shared" si="10"/>
        <v>0</v>
      </c>
      <c r="R9" s="23">
        <f t="shared" si="6"/>
        <v>0</v>
      </c>
      <c r="S9" s="24"/>
    </row>
    <row r="10" ht="22.5" customHeight="1">
      <c r="B10" s="21" t="s">
        <v>54</v>
      </c>
      <c r="C10" s="22">
        <f>SUMIFS('OPPORTUNITA DI VENDITA'!$J$198:$J$1000, 'OPPORTUNITA DI VENDITA'!$H$198:$H$1000, B10, 'OPPORTUNITA DI VENDITA'!$B$198:$B$1000, "ESEGUITO")</f>
        <v>0</v>
      </c>
      <c r="D10" s="17"/>
      <c r="E10" s="21" t="s">
        <v>54</v>
      </c>
      <c r="F10" s="22">
        <f t="shared" si="2"/>
        <v>0</v>
      </c>
      <c r="G10" s="22">
        <f t="shared" si="3"/>
        <v>0</v>
      </c>
      <c r="H10" s="22">
        <f t="shared" si="4"/>
        <v>0</v>
      </c>
      <c r="I10" s="22">
        <f t="shared" si="7"/>
        <v>759</v>
      </c>
      <c r="J10" s="22">
        <f t="shared" ref="J10:Q10" si="11">SUMIFS(INDIRECT("'" &amp; J$4 &amp; "'!$I$11:$I$1000"), INDIRECT("'" &amp; J$4 &amp; "'!$G$11:$G$1000"), $E10, INDIRECT("'" &amp; J$4 &amp; "'!$A$11:$A$1000"), "INZIA IL TRATTAMENTO-VENDITA")</f>
        <v>100</v>
      </c>
      <c r="K10" s="22">
        <f t="shared" si="11"/>
        <v>640</v>
      </c>
      <c r="L10" s="22">
        <f t="shared" si="11"/>
        <v>0</v>
      </c>
      <c r="M10" s="22">
        <f t="shared" si="11"/>
        <v>0</v>
      </c>
      <c r="N10" s="22">
        <f t="shared" si="11"/>
        <v>0</v>
      </c>
      <c r="O10" s="22">
        <f t="shared" si="11"/>
        <v>0</v>
      </c>
      <c r="P10" s="22">
        <f t="shared" si="11"/>
        <v>0</v>
      </c>
      <c r="Q10" s="22">
        <f t="shared" si="11"/>
        <v>0</v>
      </c>
      <c r="R10" s="23">
        <f t="shared" si="6"/>
        <v>1499</v>
      </c>
      <c r="S10" s="24"/>
    </row>
    <row r="11" ht="22.5" customHeight="1">
      <c r="B11" s="21" t="s">
        <v>55</v>
      </c>
      <c r="C11" s="22">
        <f>SUMIFS('OPPORTUNITA DI VENDITA'!$J$198:$J$1000, 'OPPORTUNITA DI VENDITA'!$H$198:$H$1000, B11, 'OPPORTUNITA DI VENDITA'!$B$198:$B$1000, "ESEGUITO")</f>
        <v>0</v>
      </c>
      <c r="D11" s="17"/>
      <c r="E11" s="21" t="s">
        <v>55</v>
      </c>
      <c r="F11" s="22">
        <f t="shared" si="2"/>
        <v>7785</v>
      </c>
      <c r="G11" s="22">
        <f t="shared" si="3"/>
        <v>0</v>
      </c>
      <c r="H11" s="22">
        <f t="shared" si="4"/>
        <v>11520</v>
      </c>
      <c r="I11" s="22">
        <f t="shared" si="7"/>
        <v>4191</v>
      </c>
      <c r="J11" s="22">
        <f t="shared" ref="J11:Q11" si="12">SUMIFS(INDIRECT("'" &amp; J$4 &amp; "'!$I$11:$I$1000"), INDIRECT("'" &amp; J$4 &amp; "'!$G$11:$G$1000"), $E11, INDIRECT("'" &amp; J$4 &amp; "'!$A$11:$A$1000"), "INZIA IL TRATTAMENTO-VENDITA")</f>
        <v>0</v>
      </c>
      <c r="K11" s="22">
        <f t="shared" si="12"/>
        <v>4590</v>
      </c>
      <c r="L11" s="22">
        <f t="shared" si="12"/>
        <v>0</v>
      </c>
      <c r="M11" s="22">
        <f t="shared" si="12"/>
        <v>0</v>
      </c>
      <c r="N11" s="22">
        <f t="shared" si="12"/>
        <v>0</v>
      </c>
      <c r="O11" s="22">
        <f t="shared" si="12"/>
        <v>0</v>
      </c>
      <c r="P11" s="22">
        <f t="shared" si="12"/>
        <v>0</v>
      </c>
      <c r="Q11" s="22">
        <f t="shared" si="12"/>
        <v>0</v>
      </c>
      <c r="R11" s="23">
        <f t="shared" si="6"/>
        <v>28086</v>
      </c>
      <c r="S11" s="24"/>
    </row>
    <row r="12" ht="22.5" customHeight="1">
      <c r="B12" s="21" t="s">
        <v>56</v>
      </c>
      <c r="C12" s="22">
        <f>SUMIFS('OPPORTUNITA DI VENDITA'!$J$198:$J$1000, 'OPPORTUNITA DI VENDITA'!$H$198:$H$1000, B12, 'OPPORTUNITA DI VENDITA'!$B$198:$B$1000, "ESEGUITO")</f>
        <v>0</v>
      </c>
      <c r="D12" s="17"/>
      <c r="E12" s="21" t="s">
        <v>56</v>
      </c>
      <c r="F12" s="22">
        <f t="shared" si="2"/>
        <v>304</v>
      </c>
      <c r="G12" s="22">
        <f t="shared" si="3"/>
        <v>240</v>
      </c>
      <c r="H12" s="22">
        <f t="shared" si="4"/>
        <v>392</v>
      </c>
      <c r="I12" s="22">
        <f t="shared" si="7"/>
        <v>0</v>
      </c>
      <c r="J12" s="22">
        <f t="shared" ref="J12:Q12" si="13">SUMIFS(INDIRECT("'" &amp; J$4 &amp; "'!$I$11:$I$1000"), INDIRECT("'" &amp; J$4 &amp; "'!$G$11:$G$1000"), $E12, INDIRECT("'" &amp; J$4 &amp; "'!$A$11:$A$1000"), "INZIA IL TRATTAMENTO-VENDITA")</f>
        <v>205</v>
      </c>
      <c r="K12" s="22">
        <f t="shared" si="13"/>
        <v>100</v>
      </c>
      <c r="L12" s="22">
        <f t="shared" si="13"/>
        <v>0</v>
      </c>
      <c r="M12" s="22">
        <f t="shared" si="13"/>
        <v>0</v>
      </c>
      <c r="N12" s="22">
        <f t="shared" si="13"/>
        <v>0</v>
      </c>
      <c r="O12" s="22">
        <f t="shared" si="13"/>
        <v>0</v>
      </c>
      <c r="P12" s="22">
        <f t="shared" si="13"/>
        <v>0</v>
      </c>
      <c r="Q12" s="22">
        <f t="shared" si="13"/>
        <v>0</v>
      </c>
      <c r="R12" s="23">
        <f t="shared" si="6"/>
        <v>1241</v>
      </c>
      <c r="S12" s="24"/>
    </row>
    <row r="13" ht="22.5" customHeight="1">
      <c r="B13" s="21" t="s">
        <v>57</v>
      </c>
      <c r="C13" s="22">
        <f>SUMIFS('OPPORTUNITA DI VENDITA'!$J$198:$J$1000, 'OPPORTUNITA DI VENDITA'!$H$198:$H$1000, B13, 'OPPORTUNITA DI VENDITA'!$B$198:$B$1000, "ESEGUITO")</f>
        <v>10844</v>
      </c>
      <c r="D13" s="17"/>
      <c r="E13" s="21" t="s">
        <v>57</v>
      </c>
      <c r="F13" s="22">
        <f t="shared" si="2"/>
        <v>0</v>
      </c>
      <c r="G13" s="22">
        <f t="shared" si="3"/>
        <v>70</v>
      </c>
      <c r="H13" s="22">
        <f t="shared" si="4"/>
        <v>10250</v>
      </c>
      <c r="I13" s="22">
        <f t="shared" si="7"/>
        <v>0</v>
      </c>
      <c r="J13" s="22">
        <f t="shared" ref="J13:Q13" si="14">SUMIFS(INDIRECT("'" &amp; J$4 &amp; "'!$I$11:$I$1000"), INDIRECT("'" &amp; J$4 &amp; "'!$G$11:$G$1000"), $E13, INDIRECT("'" &amp; J$4 &amp; "'!$A$11:$A$1000"), "INZIA IL TRATTAMENTO-VENDITA")</f>
        <v>2103</v>
      </c>
      <c r="K13" s="22">
        <f t="shared" si="14"/>
        <v>1450</v>
      </c>
      <c r="L13" s="22">
        <f t="shared" si="14"/>
        <v>0</v>
      </c>
      <c r="M13" s="22">
        <f t="shared" si="14"/>
        <v>0</v>
      </c>
      <c r="N13" s="22">
        <f t="shared" si="14"/>
        <v>0</v>
      </c>
      <c r="O13" s="22">
        <f t="shared" si="14"/>
        <v>0</v>
      </c>
      <c r="P13" s="22">
        <f t="shared" si="14"/>
        <v>0</v>
      </c>
      <c r="Q13" s="22">
        <f t="shared" si="14"/>
        <v>0</v>
      </c>
      <c r="R13" s="23">
        <f t="shared" si="6"/>
        <v>24717</v>
      </c>
      <c r="S13" s="24"/>
    </row>
    <row r="14" ht="22.5" customHeight="1">
      <c r="B14" s="21" t="s">
        <v>58</v>
      </c>
      <c r="C14" s="22">
        <f>SUMIFS('OPPORTUNITA DI VENDITA'!$J$198:$J$1000, 'OPPORTUNITA DI VENDITA'!$H$198:$H$1000, B14, 'OPPORTUNITA DI VENDITA'!$B$198:$B$1000, "ESEGUITO")</f>
        <v>0</v>
      </c>
      <c r="D14" s="17"/>
      <c r="E14" s="21" t="s">
        <v>58</v>
      </c>
      <c r="F14" s="22">
        <f t="shared" si="2"/>
        <v>21830</v>
      </c>
      <c r="G14" s="22">
        <f t="shared" si="3"/>
        <v>22358</v>
      </c>
      <c r="H14" s="22">
        <f t="shared" si="4"/>
        <v>7900</v>
      </c>
      <c r="I14" s="22">
        <f t="shared" si="7"/>
        <v>1055</v>
      </c>
      <c r="J14" s="22">
        <f t="shared" ref="J14:Q14" si="15">SUMIFS(INDIRECT("'" &amp; J$4 &amp; "'!$I$11:$I$1000"), INDIRECT("'" &amp; J$4 &amp; "'!$G$11:$G$1000"), $E14, INDIRECT("'" &amp; J$4 &amp; "'!$A$11:$A$1000"), "INZIA IL TRATTAMENTO-VENDITA")</f>
        <v>17001</v>
      </c>
      <c r="K14" s="22">
        <f t="shared" si="15"/>
        <v>0</v>
      </c>
      <c r="L14" s="22">
        <f t="shared" si="15"/>
        <v>0</v>
      </c>
      <c r="M14" s="22">
        <f t="shared" si="15"/>
        <v>0</v>
      </c>
      <c r="N14" s="22">
        <f t="shared" si="15"/>
        <v>0</v>
      </c>
      <c r="O14" s="22">
        <f t="shared" si="15"/>
        <v>0</v>
      </c>
      <c r="P14" s="22">
        <f t="shared" si="15"/>
        <v>0</v>
      </c>
      <c r="Q14" s="22">
        <f t="shared" si="15"/>
        <v>0</v>
      </c>
      <c r="R14" s="23">
        <f t="shared" si="6"/>
        <v>70144</v>
      </c>
      <c r="S14" s="24"/>
    </row>
    <row r="15" ht="22.5" customHeight="1">
      <c r="B15" s="21" t="s">
        <v>59</v>
      </c>
      <c r="C15" s="22">
        <f>SUMIFS('OPPORTUNITA DI VENDITA'!$J$198:$J$1000, 'OPPORTUNITA DI VENDITA'!$H$198:$H$1000, B15, 'OPPORTUNITA DI VENDITA'!$B$198:$B$1000, "ESEGUITO")</f>
        <v>0</v>
      </c>
      <c r="D15" s="17"/>
      <c r="E15" s="21" t="s">
        <v>59</v>
      </c>
      <c r="F15" s="22">
        <f t="shared" si="2"/>
        <v>0</v>
      </c>
      <c r="G15" s="22">
        <f t="shared" si="3"/>
        <v>0</v>
      </c>
      <c r="H15" s="22">
        <f t="shared" si="4"/>
        <v>0</v>
      </c>
      <c r="I15" s="22">
        <f t="shared" si="7"/>
        <v>0</v>
      </c>
      <c r="J15" s="22">
        <f t="shared" ref="J15:Q15" si="16">SUMIFS(INDIRECT("'" &amp; J$4 &amp; "'!$I$11:$I$1000"), INDIRECT("'" &amp; J$4 &amp; "'!$G$11:$G$1000"), $E15, INDIRECT("'" &amp; J$4 &amp; "'!$A$11:$A$1000"), "INZIA IL TRATTAMENTO-VENDITA")</f>
        <v>0</v>
      </c>
      <c r="K15" s="22">
        <f t="shared" si="16"/>
        <v>0</v>
      </c>
      <c r="L15" s="22">
        <f t="shared" si="16"/>
        <v>0</v>
      </c>
      <c r="M15" s="22">
        <f t="shared" si="16"/>
        <v>0</v>
      </c>
      <c r="N15" s="22">
        <f t="shared" si="16"/>
        <v>0</v>
      </c>
      <c r="O15" s="22">
        <f t="shared" si="16"/>
        <v>0</v>
      </c>
      <c r="P15" s="22">
        <f t="shared" si="16"/>
        <v>0</v>
      </c>
      <c r="Q15" s="22">
        <f t="shared" si="16"/>
        <v>0</v>
      </c>
      <c r="R15" s="23">
        <f t="shared" si="6"/>
        <v>0</v>
      </c>
      <c r="S15" s="24"/>
    </row>
    <row r="16" ht="22.5" customHeight="1">
      <c r="B16" s="21"/>
      <c r="C16" s="22">
        <f>SUMIFS('OPPORTUNITA DI VENDITA'!$J$198:$J$1000, 'OPPORTUNITA DI VENDITA'!$H$198:$H$1000, B16, 'OPPORTUNITA DI VENDITA'!$B$198:$B$1000, "ESEGUITO")</f>
        <v>0</v>
      </c>
      <c r="D16" s="17"/>
      <c r="E16" s="21"/>
      <c r="F16" s="22">
        <f t="shared" si="2"/>
        <v>0</v>
      </c>
      <c r="G16" s="22">
        <f t="shared" si="3"/>
        <v>0</v>
      </c>
      <c r="H16" s="22">
        <f t="shared" si="4"/>
        <v>0</v>
      </c>
      <c r="I16" s="22">
        <f t="shared" si="7"/>
        <v>0</v>
      </c>
      <c r="J16" s="22">
        <f t="shared" ref="J16:Q16" si="17">SUMIFS(INDIRECT("'" &amp; J$4 &amp; "'!$I$11:$I$1000"), INDIRECT("'" &amp; J$4 &amp; "'!$G$11:$G$1000"), $E16, INDIRECT("'" &amp; J$4 &amp; "'!$A$11:$A$1000"), "INZIA IL TRATTAMENTO-VENDITA")</f>
        <v>0</v>
      </c>
      <c r="K16" s="22">
        <f t="shared" si="17"/>
        <v>0</v>
      </c>
      <c r="L16" s="22">
        <f t="shared" si="17"/>
        <v>0</v>
      </c>
      <c r="M16" s="22">
        <f t="shared" si="17"/>
        <v>0</v>
      </c>
      <c r="N16" s="22">
        <f t="shared" si="17"/>
        <v>0</v>
      </c>
      <c r="O16" s="22">
        <f t="shared" si="17"/>
        <v>0</v>
      </c>
      <c r="P16" s="22">
        <f t="shared" si="17"/>
        <v>0</v>
      </c>
      <c r="Q16" s="22">
        <f t="shared" si="17"/>
        <v>0</v>
      </c>
      <c r="R16" s="23">
        <f t="shared" si="6"/>
        <v>0</v>
      </c>
      <c r="S16" s="24"/>
    </row>
    <row r="17" ht="22.5" customHeight="1">
      <c r="B17" s="21"/>
      <c r="C17" s="22">
        <f>SUMIFS('OPPORTUNITA DI VENDITA'!$J$198:$J$1000, 'OPPORTUNITA DI VENDITA'!$H$198:$H$1000, B17, 'OPPORTUNITA DI VENDITA'!$B$198:$B$1000, "ESEGUITO")</f>
        <v>0</v>
      </c>
      <c r="D17" s="17"/>
      <c r="E17" s="21"/>
      <c r="F17" s="22">
        <f t="shared" si="2"/>
        <v>0</v>
      </c>
      <c r="G17" s="22">
        <f t="shared" si="3"/>
        <v>0</v>
      </c>
      <c r="H17" s="22">
        <f t="shared" si="4"/>
        <v>0</v>
      </c>
      <c r="I17" s="22">
        <f t="shared" si="7"/>
        <v>0</v>
      </c>
      <c r="J17" s="22">
        <f t="shared" ref="J17:Q17" si="18">SUMIFS(INDIRECT("'" &amp; J$4 &amp; "'!$I$11:$I$1000"), INDIRECT("'" &amp; J$4 &amp; "'!$G$11:$G$1000"), $E17, INDIRECT("'" &amp; J$4 &amp; "'!$A$11:$A$1000"), "INZIA IL TRATTAMENTO-VENDITA")</f>
        <v>0</v>
      </c>
      <c r="K17" s="22">
        <f t="shared" si="18"/>
        <v>0</v>
      </c>
      <c r="L17" s="22">
        <f t="shared" si="18"/>
        <v>0</v>
      </c>
      <c r="M17" s="22">
        <f t="shared" si="18"/>
        <v>0</v>
      </c>
      <c r="N17" s="22">
        <f t="shared" si="18"/>
        <v>0</v>
      </c>
      <c r="O17" s="22">
        <f t="shared" si="18"/>
        <v>0</v>
      </c>
      <c r="P17" s="22">
        <f t="shared" si="18"/>
        <v>0</v>
      </c>
      <c r="Q17" s="22">
        <f t="shared" si="18"/>
        <v>0</v>
      </c>
      <c r="R17" s="23">
        <f t="shared" si="6"/>
        <v>0</v>
      </c>
      <c r="S17" s="24"/>
    </row>
    <row r="18" ht="22.5" customHeight="1">
      <c r="B18" s="21"/>
      <c r="C18" s="22">
        <f>SUMIFS('OPPORTUNITA DI VENDITA'!$J$198:$J$1000, 'OPPORTUNITA DI VENDITA'!$H$198:$H$1000, B18, 'OPPORTUNITA DI VENDITA'!$B$198:$B$1000, "ESEGUITO")</f>
        <v>0</v>
      </c>
      <c r="D18" s="17"/>
      <c r="E18" s="21"/>
      <c r="F18" s="25">
        <f t="shared" si="2"/>
        <v>0</v>
      </c>
      <c r="G18" s="25">
        <f t="shared" si="3"/>
        <v>0</v>
      </c>
      <c r="H18" s="25">
        <f t="shared" si="4"/>
        <v>0</v>
      </c>
      <c r="I18" s="25">
        <f t="shared" si="7"/>
        <v>0</v>
      </c>
      <c r="J18" s="25">
        <f t="shared" ref="J18:Q18" si="19">SUMIFS(INDIRECT("'" &amp; J$4 &amp; "'!$I$11:$I$1000"), INDIRECT("'" &amp; J$4 &amp; "'!$G$11:$G$1000"), $E18, INDIRECT("'" &amp; J$4 &amp; "'!$A$11:$A$1000"), "INZIA IL TRATTAMENTO-VENDITA")</f>
        <v>0</v>
      </c>
      <c r="K18" s="25">
        <f t="shared" si="19"/>
        <v>0</v>
      </c>
      <c r="L18" s="25">
        <f t="shared" si="19"/>
        <v>0</v>
      </c>
      <c r="M18" s="25">
        <f t="shared" si="19"/>
        <v>0</v>
      </c>
      <c r="N18" s="25">
        <f t="shared" si="19"/>
        <v>0</v>
      </c>
      <c r="O18" s="25">
        <f t="shared" si="19"/>
        <v>0</v>
      </c>
      <c r="P18" s="25">
        <f t="shared" si="19"/>
        <v>0</v>
      </c>
      <c r="Q18" s="25">
        <f t="shared" si="19"/>
        <v>0</v>
      </c>
      <c r="R18" s="26">
        <f t="shared" si="6"/>
        <v>0</v>
      </c>
      <c r="S18" s="27"/>
    </row>
    <row r="19" ht="22.5" customHeight="1">
      <c r="B19" s="28" t="s">
        <v>60</v>
      </c>
      <c r="C19" s="29">
        <f>SUM(C5:C18)</f>
        <v>36232</v>
      </c>
      <c r="D19" s="17"/>
      <c r="E19" s="28" t="s">
        <v>61</v>
      </c>
      <c r="F19" s="30">
        <f t="shared" ref="F19:R19" si="20">SUM(F5:F18)</f>
        <v>35484</v>
      </c>
      <c r="G19" s="30">
        <f t="shared" si="20"/>
        <v>104999</v>
      </c>
      <c r="H19" s="30">
        <f t="shared" si="20"/>
        <v>54103</v>
      </c>
      <c r="I19" s="30">
        <f t="shared" si="20"/>
        <v>23735</v>
      </c>
      <c r="J19" s="30">
        <f t="shared" si="20"/>
        <v>39216</v>
      </c>
      <c r="K19" s="30">
        <f t="shared" si="20"/>
        <v>24720</v>
      </c>
      <c r="L19" s="30">
        <f t="shared" si="20"/>
        <v>0</v>
      </c>
      <c r="M19" s="30">
        <f t="shared" si="20"/>
        <v>0</v>
      </c>
      <c r="N19" s="30">
        <f t="shared" si="20"/>
        <v>0</v>
      </c>
      <c r="O19" s="30">
        <f t="shared" si="20"/>
        <v>0</v>
      </c>
      <c r="P19" s="30">
        <f t="shared" si="20"/>
        <v>0</v>
      </c>
      <c r="Q19" s="30">
        <f t="shared" si="20"/>
        <v>0</v>
      </c>
      <c r="R19" s="23">
        <f t="shared" si="20"/>
        <v>318489</v>
      </c>
      <c r="S19" s="31" t="s">
        <v>62</v>
      </c>
    </row>
    <row r="20" ht="8.25" customHeight="1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20"/>
      <c r="S20" s="20"/>
    </row>
    <row r="21" ht="8.25" customHeight="1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4"/>
    </row>
    <row r="22" ht="9.0" customHeight="1"/>
    <row r="23">
      <c r="C23" s="12"/>
    </row>
    <row r="24" ht="22.5" customHeight="1">
      <c r="B24" s="1" t="s">
        <v>19</v>
      </c>
      <c r="C24" s="13" t="s">
        <v>20</v>
      </c>
      <c r="D24" s="1" t="s">
        <v>21</v>
      </c>
      <c r="E24" s="35" t="s">
        <v>63</v>
      </c>
      <c r="F24" s="15" t="s">
        <v>23</v>
      </c>
      <c r="G24" s="15" t="s">
        <v>24</v>
      </c>
      <c r="H24" s="15" t="s">
        <v>25</v>
      </c>
      <c r="I24" s="15" t="s">
        <v>26</v>
      </c>
      <c r="J24" s="15" t="s">
        <v>27</v>
      </c>
      <c r="K24" s="15" t="s">
        <v>28</v>
      </c>
      <c r="L24" s="15" t="s">
        <v>29</v>
      </c>
      <c r="M24" s="15" t="s">
        <v>30</v>
      </c>
      <c r="N24" s="15" t="s">
        <v>31</v>
      </c>
      <c r="O24" s="15" t="s">
        <v>32</v>
      </c>
      <c r="P24" s="15" t="s">
        <v>33</v>
      </c>
      <c r="Q24" s="15" t="s">
        <v>34</v>
      </c>
      <c r="R24" s="16" t="s">
        <v>35</v>
      </c>
      <c r="S24" s="16" t="s">
        <v>36</v>
      </c>
    </row>
    <row r="25" ht="22.5" customHeight="1">
      <c r="D25" s="17"/>
      <c r="F25" s="18" t="s">
        <v>37</v>
      </c>
      <c r="G25" s="18" t="s">
        <v>38</v>
      </c>
      <c r="H25" s="18" t="s">
        <v>39</v>
      </c>
      <c r="I25" s="18" t="s">
        <v>40</v>
      </c>
      <c r="J25" s="18" t="s">
        <v>41</v>
      </c>
      <c r="K25" s="18" t="s">
        <v>42</v>
      </c>
      <c r="L25" s="18" t="s">
        <v>43</v>
      </c>
      <c r="M25" s="18" t="s">
        <v>44</v>
      </c>
      <c r="N25" s="18" t="s">
        <v>45</v>
      </c>
      <c r="O25" s="18" t="s">
        <v>46</v>
      </c>
      <c r="P25" s="18" t="s">
        <v>47</v>
      </c>
      <c r="Q25" s="18" t="s">
        <v>48</v>
      </c>
      <c r="R25" s="19"/>
      <c r="S25" s="20"/>
    </row>
    <row r="26" ht="22.5" customHeight="1">
      <c r="B26" s="21" t="s">
        <v>49</v>
      </c>
      <c r="C26" s="22">
        <f>SUMIFS('OPPORTUNITA DI VENDITA'!$J$198:$J$1000, 'OPPORTUNITA DI VENDITA'!$H$198:$H$1000, B26, 'OPPORTUNITA DI VENDITA'!$B$198:$B$1000, "NON ESEGUITO")</f>
        <v>0</v>
      </c>
      <c r="D26" s="17"/>
      <c r="E26" s="21" t="s">
        <v>49</v>
      </c>
      <c r="F26" s="22">
        <f t="shared" ref="F26:F39" si="22">SUMIFS(INDIRECT("'" &amp; $F$4 &amp; "'!$I$11:$I$1000"), INDIRECT("'" &amp; $F$4 &amp; "'!$G$11:$G$1000"), $E26, INDIRECT("'" &amp; $F$4 &amp; "'!$A$11:$A$1000"), "NESSUNA VENDITA")</f>
        <v>26088</v>
      </c>
      <c r="G26" s="22">
        <f t="shared" ref="G26:G39" si="23">SUMIFS(INDIRECT("'" &amp; $G$4 &amp; "'!$I$11:$I$1000"), INDIRECT("'" &amp; $G$4 &amp; "'!$G$11:$G$1000"), $E26, INDIRECT("'" &amp; $G$4 &amp; "'!$A$11:$A$1000"), "NESSUNA VENDITA")</f>
        <v>75785</v>
      </c>
      <c r="H26" s="22">
        <f t="shared" ref="H26:H39" si="24">SUMIFS(INDIRECT("'" &amp; $H$4 &amp; "'!$I$11:$I$1000"), INDIRECT("'" &amp; $H$4 &amp; "'!$G$11:$G$1000"), $E26, INDIRECT("'" &amp; $H$4 &amp; "'!$A$11:$A$1000"), "NESSUNA VENDITA")</f>
        <v>2072</v>
      </c>
      <c r="I26" s="22">
        <f t="shared" ref="I26:Q26" si="21">SUMIFS(INDIRECT("'" &amp; I$4 &amp; "'!$I$11:$I$1000"), INDIRECT("'" &amp; I$4 &amp; "'!$G$11:$G$1000"), $E26, INDIRECT("'" &amp; I$4 &amp; "'!$A$11:$A$1000"), "NESSUNA VENDITA")</f>
        <v>28522</v>
      </c>
      <c r="J26" s="22">
        <f t="shared" si="21"/>
        <v>22356</v>
      </c>
      <c r="K26" s="22">
        <f t="shared" si="21"/>
        <v>0</v>
      </c>
      <c r="L26" s="22">
        <f t="shared" si="21"/>
        <v>0</v>
      </c>
      <c r="M26" s="22">
        <f t="shared" si="21"/>
        <v>0</v>
      </c>
      <c r="N26" s="22">
        <f t="shared" si="21"/>
        <v>0</v>
      </c>
      <c r="O26" s="22">
        <f t="shared" si="21"/>
        <v>0</v>
      </c>
      <c r="P26" s="22">
        <f t="shared" si="21"/>
        <v>0</v>
      </c>
      <c r="Q26" s="22">
        <f t="shared" si="21"/>
        <v>0</v>
      </c>
      <c r="R26" s="36">
        <f t="shared" ref="R26:R39" si="26">SUM(C26:Q26)</f>
        <v>154823</v>
      </c>
      <c r="S26" s="37"/>
    </row>
    <row r="27" ht="22.5" customHeight="1">
      <c r="B27" s="21" t="s">
        <v>50</v>
      </c>
      <c r="C27" s="22">
        <f>SUMIFS('OPPORTUNITA DI VENDITA'!$J$198:$J$1000, 'OPPORTUNITA DI VENDITA'!$H$198:$H$1000, B27, 'OPPORTUNITA DI VENDITA'!$B$198:$B$1000, "NON ESEGUITO")</f>
        <v>0</v>
      </c>
      <c r="D27" s="17"/>
      <c r="E27" s="21" t="s">
        <v>50</v>
      </c>
      <c r="F27" s="22">
        <f t="shared" si="22"/>
        <v>18880</v>
      </c>
      <c r="G27" s="22">
        <f t="shared" si="23"/>
        <v>0</v>
      </c>
      <c r="H27" s="22">
        <f t="shared" si="24"/>
        <v>32430</v>
      </c>
      <c r="I27" s="22">
        <f t="shared" ref="I27:Q27" si="25">SUMIFS(INDIRECT("'" &amp; I$4 &amp; "'!$I$11:$I$1000"), INDIRECT("'" &amp; I$4 &amp; "'!$G$11:$G$1000"), $E27, INDIRECT("'" &amp; I$4 &amp; "'!$A$11:$A$1000"), "NESSUNA VENDITA")</f>
        <v>18555</v>
      </c>
      <c r="J27" s="22">
        <f t="shared" si="25"/>
        <v>15556</v>
      </c>
      <c r="K27" s="22">
        <f t="shared" si="25"/>
        <v>0</v>
      </c>
      <c r="L27" s="22">
        <f t="shared" si="25"/>
        <v>0</v>
      </c>
      <c r="M27" s="22">
        <f t="shared" si="25"/>
        <v>0</v>
      </c>
      <c r="N27" s="22">
        <f t="shared" si="25"/>
        <v>0</v>
      </c>
      <c r="O27" s="22">
        <f t="shared" si="25"/>
        <v>0</v>
      </c>
      <c r="P27" s="22">
        <f t="shared" si="25"/>
        <v>0</v>
      </c>
      <c r="Q27" s="22">
        <f t="shared" si="25"/>
        <v>0</v>
      </c>
      <c r="R27" s="36">
        <f t="shared" si="26"/>
        <v>85421</v>
      </c>
      <c r="S27" s="37"/>
    </row>
    <row r="28" ht="22.5" customHeight="1">
      <c r="B28" s="21" t="s">
        <v>51</v>
      </c>
      <c r="C28" s="22">
        <f>SUMIFS('OPPORTUNITA DI VENDITA'!$J$198:$J$1000, 'OPPORTUNITA DI VENDITA'!$H$198:$H$1000, B28, 'OPPORTUNITA DI VENDITA'!$B$198:$B$1000, "NON ESEGUITO")</f>
        <v>0</v>
      </c>
      <c r="D28" s="17"/>
      <c r="E28" s="21" t="s">
        <v>51</v>
      </c>
      <c r="F28" s="22">
        <f t="shared" si="22"/>
        <v>0</v>
      </c>
      <c r="G28" s="22">
        <f t="shared" si="23"/>
        <v>0</v>
      </c>
      <c r="H28" s="22">
        <f t="shared" si="24"/>
        <v>0</v>
      </c>
      <c r="I28" s="22">
        <f t="shared" ref="I28:Q28" si="27">SUMIFS(INDIRECT("'" &amp; I$4 &amp; "'!$I$11:$I$1000"), INDIRECT("'" &amp; I$4 &amp; "'!$G$11:$G$1000"), $E28, INDIRECT("'" &amp; I$4 &amp; "'!$A$11:$A$1000"), "NESSUNA VENDITA")</f>
        <v>0</v>
      </c>
      <c r="J28" s="22">
        <f t="shared" si="27"/>
        <v>0</v>
      </c>
      <c r="K28" s="22">
        <f t="shared" si="27"/>
        <v>0</v>
      </c>
      <c r="L28" s="22">
        <f t="shared" si="27"/>
        <v>0</v>
      </c>
      <c r="M28" s="22">
        <f t="shared" si="27"/>
        <v>0</v>
      </c>
      <c r="N28" s="22">
        <f t="shared" si="27"/>
        <v>0</v>
      </c>
      <c r="O28" s="22">
        <f t="shared" si="27"/>
        <v>0</v>
      </c>
      <c r="P28" s="22">
        <f t="shared" si="27"/>
        <v>0</v>
      </c>
      <c r="Q28" s="22">
        <f t="shared" si="27"/>
        <v>0</v>
      </c>
      <c r="R28" s="36">
        <f t="shared" si="26"/>
        <v>0</v>
      </c>
      <c r="S28" s="37"/>
    </row>
    <row r="29" ht="22.5" customHeight="1">
      <c r="B29" s="21" t="s">
        <v>52</v>
      </c>
      <c r="C29" s="22">
        <f>SUMIFS('OPPORTUNITA DI VENDITA'!$J$198:$J$1000, 'OPPORTUNITA DI VENDITA'!$H$198:$H$1000, B29, 'OPPORTUNITA DI VENDITA'!$B$198:$B$1000, "NON ESEGUITO")</f>
        <v>0</v>
      </c>
      <c r="D29" s="17"/>
      <c r="E29" s="21" t="s">
        <v>52</v>
      </c>
      <c r="F29" s="22">
        <f t="shared" si="22"/>
        <v>0</v>
      </c>
      <c r="G29" s="22">
        <f t="shared" si="23"/>
        <v>0</v>
      </c>
      <c r="H29" s="22">
        <f t="shared" si="24"/>
        <v>0</v>
      </c>
      <c r="I29" s="22">
        <f t="shared" ref="I29:Q29" si="28">SUMIFS(INDIRECT("'" &amp; I$4 &amp; "'!$I$11:$I$1000"), INDIRECT("'" &amp; I$4 &amp; "'!$G$11:$G$1000"), $E29, INDIRECT("'" &amp; I$4 &amp; "'!$A$11:$A$1000"), "NESSUNA VENDITA")</f>
        <v>0</v>
      </c>
      <c r="J29" s="22">
        <f t="shared" si="28"/>
        <v>0</v>
      </c>
      <c r="K29" s="22">
        <f t="shared" si="28"/>
        <v>0</v>
      </c>
      <c r="L29" s="22">
        <f t="shared" si="28"/>
        <v>0</v>
      </c>
      <c r="M29" s="22">
        <f t="shared" si="28"/>
        <v>0</v>
      </c>
      <c r="N29" s="22">
        <f t="shared" si="28"/>
        <v>0</v>
      </c>
      <c r="O29" s="22">
        <f t="shared" si="28"/>
        <v>0</v>
      </c>
      <c r="P29" s="22">
        <f t="shared" si="28"/>
        <v>0</v>
      </c>
      <c r="Q29" s="22">
        <f t="shared" si="28"/>
        <v>0</v>
      </c>
      <c r="R29" s="36">
        <f t="shared" si="26"/>
        <v>0</v>
      </c>
      <c r="S29" s="37"/>
    </row>
    <row r="30" ht="22.5" customHeight="1">
      <c r="B30" s="21" t="s">
        <v>53</v>
      </c>
      <c r="C30" s="22">
        <f>SUMIFS('OPPORTUNITA DI VENDITA'!$J$198:$J$1000, 'OPPORTUNITA DI VENDITA'!$H$198:$H$1000, B30, 'OPPORTUNITA DI VENDITA'!$B$198:$B$1000, "NON ESEGUITO")</f>
        <v>0</v>
      </c>
      <c r="D30" s="17"/>
      <c r="E30" s="21" t="s">
        <v>53</v>
      </c>
      <c r="F30" s="22">
        <f t="shared" si="22"/>
        <v>0</v>
      </c>
      <c r="G30" s="22">
        <f t="shared" si="23"/>
        <v>0</v>
      </c>
      <c r="H30" s="22">
        <f t="shared" si="24"/>
        <v>0</v>
      </c>
      <c r="I30" s="22">
        <f t="shared" ref="I30:Q30" si="29">SUMIFS(INDIRECT("'" &amp; I$4 &amp; "'!$I$11:$I$1000"), INDIRECT("'" &amp; I$4 &amp; "'!$G$11:$G$1000"), $E30, INDIRECT("'" &amp; I$4 &amp; "'!$A$11:$A$1000"), "NESSUNA VENDITA")</f>
        <v>0</v>
      </c>
      <c r="J30" s="22">
        <f t="shared" si="29"/>
        <v>0</v>
      </c>
      <c r="K30" s="22">
        <f t="shared" si="29"/>
        <v>0</v>
      </c>
      <c r="L30" s="22">
        <f t="shared" si="29"/>
        <v>0</v>
      </c>
      <c r="M30" s="22">
        <f t="shared" si="29"/>
        <v>0</v>
      </c>
      <c r="N30" s="22">
        <f t="shared" si="29"/>
        <v>0</v>
      </c>
      <c r="O30" s="22">
        <f t="shared" si="29"/>
        <v>0</v>
      </c>
      <c r="P30" s="22">
        <f t="shared" si="29"/>
        <v>0</v>
      </c>
      <c r="Q30" s="22">
        <f t="shared" si="29"/>
        <v>0</v>
      </c>
      <c r="R30" s="36">
        <f t="shared" si="26"/>
        <v>0</v>
      </c>
      <c r="S30" s="37"/>
    </row>
    <row r="31" ht="22.5" customHeight="1">
      <c r="B31" s="21" t="s">
        <v>54</v>
      </c>
      <c r="C31" s="22">
        <f>SUMIFS('OPPORTUNITA DI VENDITA'!$J$198:$J$1000, 'OPPORTUNITA DI VENDITA'!$H$198:$H$1000, B31, 'OPPORTUNITA DI VENDITA'!$B$198:$B$1000, "NON ESEGUITO")</f>
        <v>0</v>
      </c>
      <c r="D31" s="17"/>
      <c r="E31" s="21" t="s">
        <v>54</v>
      </c>
      <c r="F31" s="22">
        <f t="shared" si="22"/>
        <v>0</v>
      </c>
      <c r="G31" s="22">
        <f t="shared" si="23"/>
        <v>0</v>
      </c>
      <c r="H31" s="22">
        <f t="shared" si="24"/>
        <v>0</v>
      </c>
      <c r="I31" s="22">
        <f t="shared" ref="I31:Q31" si="30">SUMIFS(INDIRECT("'" &amp; I$4 &amp; "'!$I$11:$I$1000"), INDIRECT("'" &amp; I$4 &amp; "'!$G$11:$G$1000"), $E31, INDIRECT("'" &amp; I$4 &amp; "'!$A$11:$A$1000"), "NESSUNA VENDITA")</f>
        <v>6500</v>
      </c>
      <c r="J31" s="22">
        <f t="shared" si="30"/>
        <v>0</v>
      </c>
      <c r="K31" s="22">
        <f t="shared" si="30"/>
        <v>0</v>
      </c>
      <c r="L31" s="22">
        <f t="shared" si="30"/>
        <v>0</v>
      </c>
      <c r="M31" s="22">
        <f t="shared" si="30"/>
        <v>0</v>
      </c>
      <c r="N31" s="22">
        <f t="shared" si="30"/>
        <v>0</v>
      </c>
      <c r="O31" s="22">
        <f t="shared" si="30"/>
        <v>0</v>
      </c>
      <c r="P31" s="22">
        <f t="shared" si="30"/>
        <v>0</v>
      </c>
      <c r="Q31" s="22">
        <f t="shared" si="30"/>
        <v>0</v>
      </c>
      <c r="R31" s="36">
        <f t="shared" si="26"/>
        <v>6500</v>
      </c>
      <c r="S31" s="37"/>
    </row>
    <row r="32" ht="22.5" customHeight="1">
      <c r="B32" s="21" t="s">
        <v>55</v>
      </c>
      <c r="C32" s="22">
        <f>SUMIFS('OPPORTUNITA DI VENDITA'!$J$198:$J$1000, 'OPPORTUNITA DI VENDITA'!$H$198:$H$1000, B32, 'OPPORTUNITA DI VENDITA'!$B$198:$B$1000, "NON ESEGUITO")</f>
        <v>0</v>
      </c>
      <c r="D32" s="17"/>
      <c r="E32" s="21" t="s">
        <v>55</v>
      </c>
      <c r="F32" s="22">
        <f t="shared" si="22"/>
        <v>5800</v>
      </c>
      <c r="G32" s="22">
        <f t="shared" si="23"/>
        <v>0</v>
      </c>
      <c r="H32" s="22">
        <f t="shared" si="24"/>
        <v>6790</v>
      </c>
      <c r="I32" s="22">
        <f t="shared" ref="I32:Q32" si="31">SUMIFS(INDIRECT("'" &amp; I$4 &amp; "'!$I$11:$I$1000"), INDIRECT("'" &amp; I$4 &amp; "'!$G$11:$G$1000"), $E32, INDIRECT("'" &amp; I$4 &amp; "'!$A$11:$A$1000"), "NESSUNA VENDITA")</f>
        <v>9400</v>
      </c>
      <c r="J32" s="22">
        <f t="shared" si="31"/>
        <v>0</v>
      </c>
      <c r="K32" s="22">
        <f t="shared" si="31"/>
        <v>0</v>
      </c>
      <c r="L32" s="22">
        <f t="shared" si="31"/>
        <v>0</v>
      </c>
      <c r="M32" s="22">
        <f t="shared" si="31"/>
        <v>0</v>
      </c>
      <c r="N32" s="22">
        <f t="shared" si="31"/>
        <v>0</v>
      </c>
      <c r="O32" s="22">
        <f t="shared" si="31"/>
        <v>0</v>
      </c>
      <c r="P32" s="22">
        <f t="shared" si="31"/>
        <v>0</v>
      </c>
      <c r="Q32" s="22">
        <f t="shared" si="31"/>
        <v>0</v>
      </c>
      <c r="R32" s="36">
        <f t="shared" si="26"/>
        <v>21990</v>
      </c>
      <c r="S32" s="37"/>
    </row>
    <row r="33" ht="22.5" customHeight="1">
      <c r="B33" s="21" t="s">
        <v>56</v>
      </c>
      <c r="C33" s="22">
        <f>SUMIFS('OPPORTUNITA DI VENDITA'!$J$198:$J$1000, 'OPPORTUNITA DI VENDITA'!$H$198:$H$1000, B33, 'OPPORTUNITA DI VENDITA'!$B$198:$B$1000, "NON ESEGUITO")</f>
        <v>0</v>
      </c>
      <c r="D33" s="17"/>
      <c r="E33" s="21" t="s">
        <v>56</v>
      </c>
      <c r="F33" s="22">
        <f t="shared" si="22"/>
        <v>0</v>
      </c>
      <c r="G33" s="22">
        <f t="shared" si="23"/>
        <v>0</v>
      </c>
      <c r="H33" s="22">
        <f t="shared" si="24"/>
        <v>1212</v>
      </c>
      <c r="I33" s="22">
        <f t="shared" ref="I33:Q33" si="32">SUMIFS(INDIRECT("'" &amp; I$4 &amp; "'!$I$11:$I$1000"), INDIRECT("'" &amp; I$4 &amp; "'!$G$11:$G$1000"), $E33, INDIRECT("'" &amp; I$4 &amp; "'!$A$11:$A$1000"), "NESSUNA VENDITA")</f>
        <v>0</v>
      </c>
      <c r="J33" s="22">
        <f t="shared" si="32"/>
        <v>0</v>
      </c>
      <c r="K33" s="22">
        <f t="shared" si="32"/>
        <v>0</v>
      </c>
      <c r="L33" s="22">
        <f t="shared" si="32"/>
        <v>0</v>
      </c>
      <c r="M33" s="22">
        <f t="shared" si="32"/>
        <v>0</v>
      </c>
      <c r="N33" s="22">
        <f t="shared" si="32"/>
        <v>0</v>
      </c>
      <c r="O33" s="22">
        <f t="shared" si="32"/>
        <v>0</v>
      </c>
      <c r="P33" s="22">
        <f t="shared" si="32"/>
        <v>0</v>
      </c>
      <c r="Q33" s="22">
        <f t="shared" si="32"/>
        <v>0</v>
      </c>
      <c r="R33" s="36">
        <f t="shared" si="26"/>
        <v>1212</v>
      </c>
      <c r="S33" s="37"/>
    </row>
    <row r="34" ht="22.5" customHeight="1">
      <c r="B34" s="21" t="s">
        <v>57</v>
      </c>
      <c r="C34" s="22">
        <f>SUMIFS('OPPORTUNITA DI VENDITA'!$J$198:$J$1000, 'OPPORTUNITA DI VENDITA'!$H$198:$H$1000, B34, 'OPPORTUNITA DI VENDITA'!$B$198:$B$1000, "NON ESEGUITO")</f>
        <v>0</v>
      </c>
      <c r="D34" s="17"/>
      <c r="E34" s="21" t="s">
        <v>57</v>
      </c>
      <c r="F34" s="22">
        <f t="shared" si="22"/>
        <v>5380</v>
      </c>
      <c r="G34" s="22">
        <f t="shared" si="23"/>
        <v>0</v>
      </c>
      <c r="H34" s="22">
        <f t="shared" si="24"/>
        <v>5781</v>
      </c>
      <c r="I34" s="22">
        <f t="shared" ref="I34:Q34" si="33">SUMIFS(INDIRECT("'" &amp; I$4 &amp; "'!$I$11:$I$1000"), INDIRECT("'" &amp; I$4 &amp; "'!$G$11:$G$1000"), $E34, INDIRECT("'" &amp; I$4 &amp; "'!$A$11:$A$1000"), "NESSUNA VENDITA")</f>
        <v>7900</v>
      </c>
      <c r="J34" s="22">
        <f t="shared" si="33"/>
        <v>0</v>
      </c>
      <c r="K34" s="22">
        <f t="shared" si="33"/>
        <v>0</v>
      </c>
      <c r="L34" s="22">
        <f t="shared" si="33"/>
        <v>0</v>
      </c>
      <c r="M34" s="22">
        <f t="shared" si="33"/>
        <v>0</v>
      </c>
      <c r="N34" s="22">
        <f t="shared" si="33"/>
        <v>0</v>
      </c>
      <c r="O34" s="22">
        <f t="shared" si="33"/>
        <v>0</v>
      </c>
      <c r="P34" s="22">
        <f t="shared" si="33"/>
        <v>0</v>
      </c>
      <c r="Q34" s="22">
        <f t="shared" si="33"/>
        <v>0</v>
      </c>
      <c r="R34" s="36">
        <f t="shared" si="26"/>
        <v>19061</v>
      </c>
      <c r="S34" s="37"/>
    </row>
    <row r="35" ht="22.5" customHeight="1">
      <c r="B35" s="21" t="s">
        <v>58</v>
      </c>
      <c r="C35" s="22">
        <f>SUMIFS('OPPORTUNITA DI VENDITA'!$J$198:$J$1000, 'OPPORTUNITA DI VENDITA'!$H$198:$H$1000, B35, 'OPPORTUNITA DI VENDITA'!$B$198:$B$1000, "NON ESEGUITO")</f>
        <v>0</v>
      </c>
      <c r="D35" s="17"/>
      <c r="E35" s="21" t="s">
        <v>58</v>
      </c>
      <c r="F35" s="22">
        <f t="shared" si="22"/>
        <v>6720</v>
      </c>
      <c r="G35" s="22">
        <f t="shared" si="23"/>
        <v>150</v>
      </c>
      <c r="H35" s="22">
        <f t="shared" si="24"/>
        <v>4355</v>
      </c>
      <c r="I35" s="22">
        <f t="shared" ref="I35:Q35" si="34">SUMIFS(INDIRECT("'" &amp; I$4 &amp; "'!$I$11:$I$1000"), INDIRECT("'" &amp; I$4 &amp; "'!$G$11:$G$1000"), $E35, INDIRECT("'" &amp; I$4 &amp; "'!$A$11:$A$1000"), "NESSUNA VENDITA")</f>
        <v>45621</v>
      </c>
      <c r="J35" s="22">
        <f t="shared" si="34"/>
        <v>2000</v>
      </c>
      <c r="K35" s="22">
        <f t="shared" si="34"/>
        <v>0</v>
      </c>
      <c r="L35" s="22">
        <f t="shared" si="34"/>
        <v>0</v>
      </c>
      <c r="M35" s="22">
        <f t="shared" si="34"/>
        <v>0</v>
      </c>
      <c r="N35" s="22">
        <f t="shared" si="34"/>
        <v>0</v>
      </c>
      <c r="O35" s="22">
        <f t="shared" si="34"/>
        <v>0</v>
      </c>
      <c r="P35" s="22">
        <f t="shared" si="34"/>
        <v>0</v>
      </c>
      <c r="Q35" s="22">
        <f t="shared" si="34"/>
        <v>0</v>
      </c>
      <c r="R35" s="36">
        <f t="shared" si="26"/>
        <v>58846</v>
      </c>
      <c r="S35" s="37"/>
    </row>
    <row r="36" ht="22.5" customHeight="1">
      <c r="B36" s="21" t="s">
        <v>59</v>
      </c>
      <c r="C36" s="22">
        <f>SUMIFS('OPPORTUNITA DI VENDITA'!$J$198:$J$1000, 'OPPORTUNITA DI VENDITA'!$H$198:$H$1000, B36, 'OPPORTUNITA DI VENDITA'!$B$198:$B$1000, "NON ESEGUITO")</f>
        <v>0</v>
      </c>
      <c r="D36" s="17"/>
      <c r="E36" s="21" t="s">
        <v>59</v>
      </c>
      <c r="F36" s="22">
        <f t="shared" si="22"/>
        <v>0</v>
      </c>
      <c r="G36" s="22">
        <f t="shared" si="23"/>
        <v>0</v>
      </c>
      <c r="H36" s="22">
        <f t="shared" si="24"/>
        <v>0</v>
      </c>
      <c r="I36" s="22">
        <f t="shared" ref="I36:Q36" si="35">SUMIFS(INDIRECT("'" &amp; I$4 &amp; "'!$I$11:$I$1000"), INDIRECT("'" &amp; I$4 &amp; "'!$G$11:$G$1000"), $E36, INDIRECT("'" &amp; I$4 &amp; "'!$A$11:$A$1000"), "NESSUNA VENDITA")</f>
        <v>0</v>
      </c>
      <c r="J36" s="22">
        <f t="shared" si="35"/>
        <v>0</v>
      </c>
      <c r="K36" s="22">
        <f t="shared" si="35"/>
        <v>0</v>
      </c>
      <c r="L36" s="22">
        <f t="shared" si="35"/>
        <v>0</v>
      </c>
      <c r="M36" s="22">
        <f t="shared" si="35"/>
        <v>0</v>
      </c>
      <c r="N36" s="22">
        <f t="shared" si="35"/>
        <v>0</v>
      </c>
      <c r="O36" s="22">
        <f t="shared" si="35"/>
        <v>0</v>
      </c>
      <c r="P36" s="22">
        <f t="shared" si="35"/>
        <v>0</v>
      </c>
      <c r="Q36" s="22">
        <f t="shared" si="35"/>
        <v>0</v>
      </c>
      <c r="R36" s="36">
        <f t="shared" si="26"/>
        <v>0</v>
      </c>
      <c r="S36" s="37"/>
    </row>
    <row r="37" ht="22.5" customHeight="1">
      <c r="B37" s="21"/>
      <c r="C37" s="22">
        <f>SUMIFS('OPPORTUNITA DI VENDITA'!$J$198:$J$1000, 'OPPORTUNITA DI VENDITA'!$H$198:$H$1000, B37, 'OPPORTUNITA DI VENDITA'!$B$198:$B$1000, "NON ESEGUITO")</f>
        <v>0</v>
      </c>
      <c r="D37" s="17"/>
      <c r="E37" s="21"/>
      <c r="F37" s="22">
        <f t="shared" si="22"/>
        <v>0</v>
      </c>
      <c r="G37" s="22">
        <f t="shared" si="23"/>
        <v>0</v>
      </c>
      <c r="H37" s="22">
        <f t="shared" si="24"/>
        <v>0</v>
      </c>
      <c r="I37" s="22">
        <f t="shared" ref="I37:Q37" si="36">SUMIFS(INDIRECT("'" &amp; I$4 &amp; "'!$I$11:$I$1000"), INDIRECT("'" &amp; I$4 &amp; "'!$G$11:$G$1000"), $E37, INDIRECT("'" &amp; I$4 &amp; "'!$A$11:$A$1000"), "NESSUNA VENDITA")</f>
        <v>0</v>
      </c>
      <c r="J37" s="22">
        <f t="shared" si="36"/>
        <v>0</v>
      </c>
      <c r="K37" s="22">
        <f t="shared" si="36"/>
        <v>0</v>
      </c>
      <c r="L37" s="22">
        <f t="shared" si="36"/>
        <v>0</v>
      </c>
      <c r="M37" s="22">
        <f t="shared" si="36"/>
        <v>0</v>
      </c>
      <c r="N37" s="22">
        <f t="shared" si="36"/>
        <v>0</v>
      </c>
      <c r="O37" s="22">
        <f t="shared" si="36"/>
        <v>0</v>
      </c>
      <c r="P37" s="22">
        <f t="shared" si="36"/>
        <v>0</v>
      </c>
      <c r="Q37" s="22">
        <f t="shared" si="36"/>
        <v>0</v>
      </c>
      <c r="R37" s="36">
        <f t="shared" si="26"/>
        <v>0</v>
      </c>
      <c r="S37" s="37"/>
    </row>
    <row r="38" ht="22.5" customHeight="1">
      <c r="B38" s="21"/>
      <c r="C38" s="22">
        <f>SUMIFS('OPPORTUNITA DI VENDITA'!$J$198:$J$1000, 'OPPORTUNITA DI VENDITA'!$H$198:$H$1000, B38, 'OPPORTUNITA DI VENDITA'!$B$198:$B$1000, "NON ESEGUITO")</f>
        <v>0</v>
      </c>
      <c r="D38" s="17"/>
      <c r="E38" s="21"/>
      <c r="F38" s="22">
        <f t="shared" si="22"/>
        <v>0</v>
      </c>
      <c r="G38" s="22">
        <f t="shared" si="23"/>
        <v>0</v>
      </c>
      <c r="H38" s="22">
        <f t="shared" si="24"/>
        <v>0</v>
      </c>
      <c r="I38" s="22">
        <f t="shared" ref="I38:Q38" si="37">SUMIFS(INDIRECT("'" &amp; I$4 &amp; "'!$I$11:$I$1000"), INDIRECT("'" &amp; I$4 &amp; "'!$G$11:$G$1000"), $E38, INDIRECT("'" &amp; I$4 &amp; "'!$A$11:$A$1000"), "NESSUNA VENDITA")</f>
        <v>0</v>
      </c>
      <c r="J38" s="22">
        <f t="shared" si="37"/>
        <v>0</v>
      </c>
      <c r="K38" s="22">
        <f t="shared" si="37"/>
        <v>0</v>
      </c>
      <c r="L38" s="22">
        <f t="shared" si="37"/>
        <v>0</v>
      </c>
      <c r="M38" s="22">
        <f t="shared" si="37"/>
        <v>0</v>
      </c>
      <c r="N38" s="22">
        <f t="shared" si="37"/>
        <v>0</v>
      </c>
      <c r="O38" s="22">
        <f t="shared" si="37"/>
        <v>0</v>
      </c>
      <c r="P38" s="22">
        <f t="shared" si="37"/>
        <v>0</v>
      </c>
      <c r="Q38" s="22">
        <f t="shared" si="37"/>
        <v>0</v>
      </c>
      <c r="R38" s="36">
        <f t="shared" si="26"/>
        <v>0</v>
      </c>
      <c r="S38" s="37"/>
    </row>
    <row r="39" ht="22.5" customHeight="1">
      <c r="B39" s="21"/>
      <c r="C39" s="22">
        <f>SUMIFS('OPPORTUNITA DI VENDITA'!$J$198:$J$1000, 'OPPORTUNITA DI VENDITA'!$H$198:$H$1000, B39, 'OPPORTUNITA DI VENDITA'!$B$198:$B$1000, "NON ESEGUITO")</f>
        <v>0</v>
      </c>
      <c r="D39" s="17"/>
      <c r="E39" s="21"/>
      <c r="F39" s="25">
        <f t="shared" si="22"/>
        <v>0</v>
      </c>
      <c r="G39" s="25">
        <f t="shared" si="23"/>
        <v>0</v>
      </c>
      <c r="H39" s="25">
        <f t="shared" si="24"/>
        <v>0</v>
      </c>
      <c r="I39" s="25">
        <f t="shared" ref="I39:Q39" si="38">SUMIFS(INDIRECT("'" &amp; I$4 &amp; "'!$I$11:$I$1000"), INDIRECT("'" &amp; I$4 &amp; "'!$G$11:$G$1000"), $E39, INDIRECT("'" &amp; I$4 &amp; "'!$A$11:$A$1000"), "NESSUNA VENDITA")</f>
        <v>0</v>
      </c>
      <c r="J39" s="25">
        <f t="shared" si="38"/>
        <v>0</v>
      </c>
      <c r="K39" s="25">
        <f t="shared" si="38"/>
        <v>0</v>
      </c>
      <c r="L39" s="25">
        <f t="shared" si="38"/>
        <v>0</v>
      </c>
      <c r="M39" s="25">
        <f t="shared" si="38"/>
        <v>0</v>
      </c>
      <c r="N39" s="25">
        <f t="shared" si="38"/>
        <v>0</v>
      </c>
      <c r="O39" s="25">
        <f t="shared" si="38"/>
        <v>0</v>
      </c>
      <c r="P39" s="25">
        <f t="shared" si="38"/>
        <v>0</v>
      </c>
      <c r="Q39" s="25">
        <f t="shared" si="38"/>
        <v>0</v>
      </c>
      <c r="R39" s="38">
        <f t="shared" si="26"/>
        <v>0</v>
      </c>
      <c r="S39" s="39"/>
    </row>
    <row r="40" ht="22.5" customHeight="1">
      <c r="B40" s="28" t="s">
        <v>60</v>
      </c>
      <c r="C40" s="40">
        <f>SUM(C26:C39)</f>
        <v>0</v>
      </c>
      <c r="D40" s="17"/>
      <c r="E40" s="28" t="s">
        <v>61</v>
      </c>
      <c r="F40" s="41">
        <f t="shared" ref="F40:R40" si="39">SUM(F26:F39)</f>
        <v>62868</v>
      </c>
      <c r="G40" s="41">
        <f t="shared" si="39"/>
        <v>75935</v>
      </c>
      <c r="H40" s="41">
        <f t="shared" si="39"/>
        <v>52640</v>
      </c>
      <c r="I40" s="41">
        <f t="shared" si="39"/>
        <v>116498</v>
      </c>
      <c r="J40" s="41">
        <f t="shared" si="39"/>
        <v>39912</v>
      </c>
      <c r="K40" s="41">
        <f t="shared" si="39"/>
        <v>0</v>
      </c>
      <c r="L40" s="41">
        <f t="shared" si="39"/>
        <v>0</v>
      </c>
      <c r="M40" s="41">
        <f t="shared" si="39"/>
        <v>0</v>
      </c>
      <c r="N40" s="41">
        <f t="shared" si="39"/>
        <v>0</v>
      </c>
      <c r="O40" s="41">
        <f t="shared" si="39"/>
        <v>0</v>
      </c>
      <c r="P40" s="41">
        <f t="shared" si="39"/>
        <v>0</v>
      </c>
      <c r="Q40" s="41">
        <f t="shared" si="39"/>
        <v>0</v>
      </c>
      <c r="R40" s="36">
        <f t="shared" si="39"/>
        <v>347853</v>
      </c>
      <c r="S40" s="31" t="s">
        <v>64</v>
      </c>
    </row>
    <row r="41" ht="8.25" customHeight="1"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20"/>
      <c r="S41" s="20"/>
    </row>
    <row r="44">
      <c r="O44" s="42" t="s">
        <v>65</v>
      </c>
    </row>
    <row r="45">
      <c r="O45" s="43">
        <f>IFERROR(R19 / (R19 + R40), 0)</f>
        <v>0.4779662696</v>
      </c>
      <c r="P45" s="44">
        <f>IFERROR(R40 / (R19 + R40), 0)</f>
        <v>0.5220337304</v>
      </c>
    </row>
    <row r="46">
      <c r="O46" s="45">
        <f>O45-P45</f>
        <v>-0.04406746085</v>
      </c>
      <c r="P46" s="46"/>
    </row>
  </sheetData>
  <mergeCells count="3">
    <mergeCell ref="E1:L1"/>
    <mergeCell ref="O44:P44"/>
    <mergeCell ref="O46:P46"/>
  </mergeCells>
  <conditionalFormatting sqref="B16:B19 E16:E19 B37:B40 E37:E40">
    <cfRule type="expression" dxfId="8" priority="1">
      <formula>#REF!="ATTESA DOCUMENTAZIONE"</formula>
    </cfRule>
  </conditionalFormatting>
  <conditionalFormatting sqref="B16:B19 E16:E19 B37:B40 E37:E40">
    <cfRule type="expression" dxfId="9" priority="2">
      <formula>#REF!="ATTESA OK ANESTESISTI"</formula>
    </cfRule>
  </conditionalFormatting>
  <conditionalFormatting sqref="B16:B19 E16:E19 B37:B40 E37:E40">
    <cfRule type="expression" dxfId="10" priority="3">
      <formula>#REF!="NESSUNA VENDITA"</formula>
    </cfRule>
  </conditionalFormatting>
  <conditionalFormatting sqref="B16:B19 E16:E19 B37:B40 E37:E40">
    <cfRule type="expression" dxfId="8" priority="4">
      <formula>#REF!="ATTESA DOCUMENTAZIONE"</formula>
    </cfRule>
  </conditionalFormatting>
  <conditionalFormatting sqref="B16:B19 E16:E19 B37:B40 E37:E40">
    <cfRule type="expression" dxfId="9" priority="5">
      <formula>#REF!="ATTESA OK ANESTESISTI"</formula>
    </cfRule>
  </conditionalFormatting>
  <conditionalFormatting sqref="B16:B19 E16:E19 B37:B40 E37:E40">
    <cfRule type="expression" dxfId="10" priority="6">
      <formula>#REF!="NESSUNA VENDITA"</formula>
    </cfRule>
  </conditionalFormatting>
  <conditionalFormatting sqref="B4:B19 E4:E19 B25:B40 E25:E40">
    <cfRule type="expression" dxfId="8" priority="7">
      <formula>#REF!="ATTESA DOCUMENTAZIONE"</formula>
    </cfRule>
  </conditionalFormatting>
  <conditionalFormatting sqref="B4:B19 E4:E19 B25:B40 E25:E40">
    <cfRule type="expression" dxfId="9" priority="8">
      <formula>#REF!="ATTESA OK ANESTESISTI"</formula>
    </cfRule>
  </conditionalFormatting>
  <conditionalFormatting sqref="B4:B19 E4:E19 B25:B40 E25:E40">
    <cfRule type="expression" dxfId="10" priority="9">
      <formula>#REF!="NESSUNA VENDITA"</formula>
    </cfRule>
  </conditionalFormatting>
  <conditionalFormatting sqref="B2:B19 E2 E4:E19 B23:B40 E23:E40">
    <cfRule type="expression" dxfId="11" priority="10">
      <formula>#REF!="RICHIAMERA' / RICHIAMARE"</formula>
    </cfRule>
  </conditionalFormatting>
  <conditionalFormatting sqref="B2:B19 E2 E4:E19 B23:B40 E23:E40">
    <cfRule type="expression" dxfId="12" priority="11">
      <formula>#REF!="INZIA IL TRATTAMENTO-VENDITA"</formula>
    </cfRule>
  </conditionalFormatting>
  <conditionalFormatting sqref="B2:B19 E2 E4:E19 B23:B40 E23:E40">
    <cfRule type="expression" dxfId="8" priority="12">
      <formula>#REF!="APPUNTAMENTO PER INZIARE TRATTAMENTO=PAGAMENTO/DOCUMENTAZIONE"</formula>
    </cfRule>
  </conditionalFormatting>
  <conditionalFormatting sqref="B2:B19 E2 E4:E19 B23:B40 E23:E40">
    <cfRule type="expression" dxfId="13" priority="13">
      <formula>#REF!="NESSUNA VENDITA"</formula>
    </cfRule>
  </conditionalFormatting>
  <conditionalFormatting sqref="B2:B19 E2 E4:E19 B23:B40 E23:E40">
    <cfRule type="expression" dxfId="14" priority="14">
      <formula>#REF!="PAZIENTE SANO"</formula>
    </cfRule>
  </conditionalFormatting>
  <conditionalFormatting sqref="B2:B19 E2 E4:E19 B23:B40 E23:E40">
    <cfRule type="expression" dxfId="9" priority="15">
      <formula>#REF!="IN ATTESA OK ANESTESISTI MALGRATE"</formula>
    </cfRule>
  </conditionalFormatting>
  <conditionalFormatting sqref="B2:B19 E2 E4:E19 B23:B40 E23:E40">
    <cfRule type="expression" dxfId="15" priority="16">
      <formula>#REF!="NON SI PRESENTA ALL'APPUNTAMENTO"</formula>
    </cfRule>
  </conditionalFormatting>
  <conditionalFormatting sqref="B2:B19 E2 E4:E19 B23:B40 E23:E40">
    <cfRule type="expression" dxfId="16" priority="17">
      <formula>#REF!="CONSULTO COMMERCIALE/CLINICO"</formula>
    </cfRule>
  </conditionalFormatting>
  <dataValidations>
    <dataValidation type="list" allowBlank="1" showErrorMessage="1" sqref="B5:B18 E5:E18 B26:B39 E26:E39">
      <formula1>'Elenco Dip Sedi'!$C$5:$C$32</formula1>
    </dataValidation>
    <dataValidation type="custom" allowBlank="1" showDropDown="1" sqref="R4:R19 R25:R40">
      <formula1>AND(ISNUMBER(R4),(NOT(OR(NOT(ISERROR(DATEVALUE(R4))), AND(ISNUMBER(R4), LEFT(CELL("format", R4))="D")))))</formula1>
    </dataValidation>
  </dataValidations>
  <hyperlinks>
    <hyperlink display="gennaio" location="GENNAIO!A1" ref="F4"/>
    <hyperlink display="febbraio" location="FEBBRAIO!A1" ref="G4"/>
    <hyperlink display="marzo" location="MARZO!A1" ref="H4"/>
    <hyperlink display="aprile" location="APRILE!A1" ref="I4"/>
    <hyperlink display="maggio" location="MAGGIO!A1" ref="J4"/>
    <hyperlink display="giugno" location="GIUGNO!A1" ref="K4"/>
    <hyperlink display="luglio" location="LUGLIO!A1" ref="L4"/>
    <hyperlink display="agosto" location="AGOSTO!A1" ref="M4"/>
    <hyperlink display="settembre" location="SETTEMBRE!A1" ref="N4"/>
    <hyperlink display="ottobre" location="OTTOBRE!A1" ref="O4"/>
    <hyperlink display="novembre" location="NOVEMBRE!A1" ref="P4"/>
    <hyperlink display="dicembre" location="DICEMBRE!A1" ref="Q4"/>
    <hyperlink display="gennaio" location="GENNAIO!A1" ref="F25"/>
    <hyperlink display="febbraio" location="FEBBRAIO!A1" ref="G25"/>
    <hyperlink display="marzo" location="MARZO!A1" ref="H25"/>
    <hyperlink display="aprile" location="APRILE!A1" ref="I25"/>
    <hyperlink display="maggio" location="MAGGIO!A1" ref="J25"/>
    <hyperlink display="giugno" location="GIUGNO!A1" ref="K25"/>
    <hyperlink display="luglio" location="LUGLIO!A1" ref="L25"/>
    <hyperlink display="agosto" location="AGOSTO!A1" ref="M25"/>
    <hyperlink display="settembre" location="SETTEMBRE!A1" ref="N25"/>
    <hyperlink display="ottobre" location="OTTOBRE!A1" ref="O25"/>
    <hyperlink display="novembre" location="NOVEMBRE!A1" ref="P25"/>
    <hyperlink display="dicembre" location="DICEMBRE!A1" ref="Q25"/>
  </hyperlink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outlinePr summaryBelow="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 outlineLevelRow="1"/>
  <cols>
    <col customWidth="1" min="1" max="1" width="13.75"/>
    <col customWidth="1" min="2" max="2" width="23.13"/>
    <col customWidth="1" min="3" max="3" width="13.25"/>
    <col customWidth="1" min="4" max="4" width="18.5"/>
    <col customWidth="1" min="5" max="5" width="28.25"/>
    <col customWidth="1" min="6" max="6" width="41.63"/>
    <col customWidth="1" min="7" max="7" width="8.13"/>
    <col customWidth="1" min="8" max="8" width="26.5"/>
    <col customWidth="1" hidden="1" min="9" max="9" width="6.25"/>
    <col customWidth="1" min="10" max="10" width="12.0"/>
    <col customWidth="1" min="11" max="11" width="11.5"/>
    <col customWidth="1" min="12" max="12" width="15.5"/>
    <col customWidth="1" hidden="1" min="13" max="13" width="3.5"/>
    <col customWidth="1" hidden="1" min="14" max="14" width="8.75"/>
    <col customWidth="1" hidden="1" min="15" max="15" width="3.13"/>
    <col customWidth="1" min="16" max="16" width="11.25"/>
    <col customWidth="1" hidden="1" min="17" max="17" width="8.38"/>
    <col customWidth="1" min="18" max="18" width="28.38"/>
    <col customWidth="1" min="19" max="19" width="11.88"/>
    <col customWidth="1" min="20" max="20" width="54.88"/>
    <col customWidth="1" min="21" max="29" width="5.88"/>
  </cols>
  <sheetData>
    <row r="1" ht="14.25" customHeight="1">
      <c r="A1" s="47"/>
      <c r="B1" s="48"/>
      <c r="C1" s="49"/>
      <c r="D1" s="50"/>
      <c r="E1" s="51" t="s">
        <v>66</v>
      </c>
      <c r="F1" s="52" t="s">
        <v>67</v>
      </c>
      <c r="G1" s="53"/>
      <c r="H1" s="54"/>
      <c r="I1" s="54"/>
      <c r="J1" s="55"/>
      <c r="K1" s="55"/>
      <c r="L1" s="56"/>
      <c r="N1" s="56"/>
      <c r="O1" s="57"/>
      <c r="P1" s="58"/>
      <c r="Q1" s="59"/>
      <c r="R1" s="60"/>
      <c r="S1" s="61"/>
    </row>
    <row r="2" ht="20.25" customHeight="1">
      <c r="A2" s="62"/>
      <c r="C2" s="63"/>
      <c r="D2" s="64"/>
      <c r="E2" s="64"/>
      <c r="F2" s="64"/>
      <c r="G2" s="53"/>
      <c r="H2" s="54"/>
      <c r="I2" s="54"/>
      <c r="J2" s="65"/>
      <c r="K2" s="65"/>
      <c r="L2" s="66"/>
      <c r="M2" s="66"/>
      <c r="N2" s="66"/>
      <c r="O2" s="67"/>
      <c r="P2" s="58"/>
      <c r="Q2" s="68"/>
      <c r="R2" s="69"/>
      <c r="S2" s="61"/>
    </row>
    <row r="3" ht="21.0" customHeight="1">
      <c r="A3" s="62"/>
      <c r="C3" s="63"/>
      <c r="D3" s="64"/>
      <c r="E3" s="64"/>
      <c r="F3" s="64"/>
      <c r="G3" s="53"/>
      <c r="H3" s="57"/>
      <c r="I3" s="57"/>
      <c r="J3" s="70"/>
      <c r="K3" s="70"/>
      <c r="L3" s="71"/>
      <c r="O3" s="57"/>
      <c r="P3" s="58"/>
      <c r="Q3" s="72"/>
      <c r="R3" s="69"/>
      <c r="S3" s="61"/>
    </row>
    <row r="4" ht="27.0" customHeight="1">
      <c r="A4" s="73"/>
      <c r="B4" s="46"/>
      <c r="C4" s="74"/>
      <c r="D4" s="75"/>
      <c r="E4" s="75"/>
      <c r="F4" s="75"/>
      <c r="G4" s="76"/>
      <c r="H4" s="77"/>
      <c r="I4" s="78"/>
      <c r="J4" s="79"/>
      <c r="K4" s="79"/>
      <c r="L4" s="80"/>
      <c r="N4" s="81"/>
      <c r="Q4" s="82"/>
      <c r="R4" s="69"/>
      <c r="S4" s="83"/>
      <c r="T4" s="84"/>
      <c r="U4" s="84"/>
      <c r="V4" s="84"/>
      <c r="W4" s="84"/>
      <c r="X4" s="84"/>
      <c r="Y4" s="84"/>
      <c r="Z4" s="84"/>
      <c r="AA4" s="84"/>
      <c r="AB4" s="84"/>
      <c r="AC4" s="84"/>
    </row>
    <row r="5" ht="21.0" hidden="1" customHeight="1">
      <c r="A5" s="85"/>
      <c r="D5" s="86"/>
      <c r="E5" s="87"/>
      <c r="F5" s="76"/>
      <c r="G5" s="88"/>
      <c r="H5" s="76"/>
      <c r="I5" s="78"/>
      <c r="J5" s="79"/>
      <c r="K5" s="79"/>
      <c r="L5" s="78"/>
      <c r="O5" s="78"/>
      <c r="P5" s="89"/>
      <c r="Q5" s="90"/>
      <c r="R5" s="69"/>
      <c r="S5" s="83"/>
      <c r="T5" s="84"/>
      <c r="U5" s="84"/>
      <c r="V5" s="84"/>
      <c r="W5" s="84"/>
      <c r="X5" s="84"/>
      <c r="Y5" s="84"/>
      <c r="Z5" s="84"/>
      <c r="AA5" s="84"/>
      <c r="AB5" s="84"/>
      <c r="AC5" s="84"/>
    </row>
    <row r="6" ht="17.25" hidden="1" customHeight="1">
      <c r="A6" s="85"/>
      <c r="D6" s="78"/>
      <c r="E6" s="91"/>
      <c r="F6" s="92"/>
      <c r="G6" s="93"/>
      <c r="H6" s="92"/>
      <c r="I6" s="78"/>
      <c r="J6" s="79"/>
      <c r="K6" s="79"/>
      <c r="L6" s="78"/>
      <c r="O6" s="78"/>
      <c r="P6" s="89"/>
      <c r="Q6" s="94"/>
      <c r="R6" s="95"/>
      <c r="S6" s="83"/>
      <c r="T6" s="84"/>
      <c r="U6" s="84"/>
      <c r="V6" s="84"/>
      <c r="W6" s="84"/>
      <c r="X6" s="84"/>
      <c r="Y6" s="84"/>
      <c r="Z6" s="84"/>
      <c r="AA6" s="84"/>
      <c r="AB6" s="84"/>
      <c r="AC6" s="84"/>
    </row>
    <row r="7" ht="30.75" customHeight="1">
      <c r="A7" s="96" t="s">
        <v>68</v>
      </c>
      <c r="B7" s="97" t="s">
        <v>69</v>
      </c>
      <c r="C7" s="98" t="s">
        <v>70</v>
      </c>
      <c r="D7" s="99" t="s">
        <v>71</v>
      </c>
      <c r="E7" s="100" t="s">
        <v>72</v>
      </c>
      <c r="F7" s="101" t="s">
        <v>73</v>
      </c>
      <c r="G7" s="100" t="s">
        <v>74</v>
      </c>
      <c r="H7" s="102" t="s">
        <v>75</v>
      </c>
      <c r="I7" s="103"/>
      <c r="J7" s="104" t="s">
        <v>76</v>
      </c>
      <c r="K7" s="104" t="s">
        <v>77</v>
      </c>
      <c r="L7" s="105" t="s">
        <v>78</v>
      </c>
      <c r="M7" s="106"/>
      <c r="N7" s="106"/>
      <c r="O7" s="107"/>
      <c r="P7" s="108" t="s">
        <v>79</v>
      </c>
      <c r="Q7" s="109" t="s">
        <v>80</v>
      </c>
      <c r="R7" s="103"/>
      <c r="S7" s="110" t="s">
        <v>81</v>
      </c>
      <c r="T7" s="111" t="s">
        <v>82</v>
      </c>
    </row>
    <row r="8" ht="3.75" customHeight="1">
      <c r="A8" s="112"/>
      <c r="B8" s="113"/>
      <c r="C8" s="114"/>
      <c r="D8" s="114"/>
      <c r="E8" s="114"/>
      <c r="F8" s="114"/>
      <c r="G8" s="114"/>
      <c r="H8" s="114"/>
      <c r="I8" s="114"/>
      <c r="J8" s="114"/>
      <c r="K8" s="114"/>
      <c r="L8" s="113"/>
      <c r="M8" s="113"/>
      <c r="N8" s="113"/>
      <c r="O8" s="113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</row>
    <row r="9" ht="20.25" hidden="1" customHeight="1" collapsed="1">
      <c r="A9" s="115" t="s">
        <v>83</v>
      </c>
      <c r="B9" s="116" t="s">
        <v>84</v>
      </c>
      <c r="C9" s="46"/>
      <c r="D9" s="46"/>
      <c r="E9" s="46"/>
      <c r="F9" s="46"/>
      <c r="G9" s="46"/>
      <c r="H9" s="46"/>
      <c r="I9" s="116"/>
      <c r="J9" s="117">
        <f>SUMIF(B10:B99,"ESEGUITO", J10:J1287)</f>
        <v>0</v>
      </c>
      <c r="K9" s="117"/>
      <c r="L9" s="118"/>
      <c r="M9" s="118"/>
      <c r="N9" s="118"/>
      <c r="O9" s="118"/>
      <c r="P9" s="117"/>
      <c r="Q9" s="119"/>
      <c r="R9" s="119"/>
      <c r="S9" s="120"/>
      <c r="T9" s="121"/>
      <c r="U9" s="122"/>
      <c r="V9" s="123"/>
      <c r="W9" s="123"/>
      <c r="X9" s="123"/>
      <c r="Y9" s="123"/>
      <c r="Z9" s="123"/>
      <c r="AA9" s="123"/>
      <c r="AB9" s="123"/>
      <c r="AC9" s="123"/>
    </row>
    <row r="10" ht="20.25" hidden="1" customHeight="1" outlineLevel="1">
      <c r="A10" s="124"/>
      <c r="B10" s="125"/>
      <c r="C10" s="126"/>
      <c r="D10" s="127"/>
      <c r="E10" s="127"/>
      <c r="F10" s="128"/>
      <c r="G10" s="127"/>
      <c r="H10" s="127"/>
      <c r="I10" s="127"/>
      <c r="J10" s="129"/>
      <c r="K10" s="129"/>
      <c r="L10" s="130"/>
      <c r="M10" s="131"/>
      <c r="N10" s="131"/>
      <c r="O10" s="131"/>
      <c r="P10" s="129"/>
      <c r="Q10" s="127"/>
      <c r="R10" s="119"/>
      <c r="S10" s="132"/>
      <c r="T10" s="133"/>
      <c r="U10" s="134"/>
      <c r="V10" s="135"/>
      <c r="W10" s="135"/>
      <c r="X10" s="135"/>
      <c r="Y10" s="135"/>
      <c r="Z10" s="135"/>
      <c r="AA10" s="135"/>
      <c r="AB10" s="135"/>
      <c r="AC10" s="135"/>
    </row>
    <row r="11" ht="20.25" hidden="1" customHeight="1" outlineLevel="1">
      <c r="B11" s="125"/>
      <c r="C11" s="126"/>
      <c r="D11" s="127"/>
      <c r="E11" s="127"/>
      <c r="F11" s="128"/>
      <c r="G11" s="127"/>
      <c r="H11" s="127"/>
      <c r="I11" s="127"/>
      <c r="J11" s="129"/>
      <c r="K11" s="129"/>
      <c r="L11" s="130"/>
      <c r="M11" s="131"/>
      <c r="N11" s="131"/>
      <c r="O11" s="131"/>
      <c r="P11" s="129"/>
      <c r="Q11" s="127"/>
      <c r="R11" s="119"/>
      <c r="S11" s="132"/>
      <c r="T11" s="133"/>
      <c r="U11" s="134"/>
      <c r="V11" s="135"/>
      <c r="W11" s="135"/>
      <c r="X11" s="135"/>
      <c r="Y11" s="135"/>
      <c r="Z11" s="135"/>
      <c r="AA11" s="135"/>
      <c r="AB11" s="135"/>
      <c r="AC11" s="135"/>
    </row>
    <row r="12" ht="20.25" hidden="1" customHeight="1" outlineLevel="1">
      <c r="B12" s="125"/>
      <c r="C12" s="126"/>
      <c r="D12" s="127"/>
      <c r="E12" s="127"/>
      <c r="F12" s="128"/>
      <c r="G12" s="127"/>
      <c r="H12" s="127"/>
      <c r="I12" s="127"/>
      <c r="J12" s="129"/>
      <c r="K12" s="129"/>
      <c r="L12" s="130"/>
      <c r="M12" s="131"/>
      <c r="N12" s="131"/>
      <c r="O12" s="131"/>
      <c r="P12" s="129"/>
      <c r="Q12" s="127"/>
      <c r="R12" s="119"/>
      <c r="S12" s="132"/>
      <c r="T12" s="133"/>
      <c r="U12" s="134"/>
      <c r="V12" s="135"/>
      <c r="W12" s="135"/>
      <c r="X12" s="135"/>
      <c r="Y12" s="135"/>
      <c r="Z12" s="135"/>
      <c r="AA12" s="135"/>
      <c r="AB12" s="135"/>
      <c r="AC12" s="135"/>
    </row>
    <row r="13" ht="20.25" hidden="1" customHeight="1" outlineLevel="1">
      <c r="B13" s="125"/>
      <c r="C13" s="126"/>
      <c r="D13" s="127"/>
      <c r="E13" s="127"/>
      <c r="F13" s="128"/>
      <c r="G13" s="127"/>
      <c r="H13" s="127"/>
      <c r="I13" s="127"/>
      <c r="J13" s="129"/>
      <c r="K13" s="129"/>
      <c r="L13" s="130"/>
      <c r="M13" s="131"/>
      <c r="N13" s="131"/>
      <c r="O13" s="131"/>
      <c r="P13" s="129"/>
      <c r="Q13" s="127"/>
      <c r="R13" s="119"/>
      <c r="S13" s="132"/>
      <c r="T13" s="133"/>
      <c r="U13" s="134"/>
      <c r="V13" s="135"/>
      <c r="W13" s="135"/>
      <c r="X13" s="135"/>
      <c r="Y13" s="135"/>
      <c r="Z13" s="135"/>
      <c r="AA13" s="135"/>
      <c r="AB13" s="135"/>
      <c r="AC13" s="135"/>
    </row>
    <row r="14" ht="20.25" hidden="1" customHeight="1" outlineLevel="1">
      <c r="B14" s="125"/>
      <c r="C14" s="126"/>
      <c r="D14" s="127"/>
      <c r="E14" s="127"/>
      <c r="F14" s="128"/>
      <c r="G14" s="127"/>
      <c r="H14" s="127"/>
      <c r="I14" s="127"/>
      <c r="J14" s="129"/>
      <c r="K14" s="129"/>
      <c r="L14" s="130"/>
      <c r="M14" s="131"/>
      <c r="N14" s="131"/>
      <c r="O14" s="131"/>
      <c r="P14" s="129"/>
      <c r="Q14" s="127"/>
      <c r="R14" s="119"/>
      <c r="S14" s="132"/>
      <c r="T14" s="133"/>
      <c r="U14" s="134"/>
      <c r="V14" s="135"/>
      <c r="W14" s="135"/>
      <c r="X14" s="135"/>
      <c r="Y14" s="135"/>
      <c r="Z14" s="135"/>
      <c r="AA14" s="135"/>
      <c r="AB14" s="135"/>
      <c r="AC14" s="135"/>
    </row>
    <row r="15" ht="20.25" hidden="1" customHeight="1" outlineLevel="1">
      <c r="B15" s="125"/>
      <c r="C15" s="126"/>
      <c r="D15" s="127"/>
      <c r="E15" s="127"/>
      <c r="F15" s="128"/>
      <c r="G15" s="127"/>
      <c r="H15" s="127"/>
      <c r="I15" s="127"/>
      <c r="J15" s="129"/>
      <c r="K15" s="129"/>
      <c r="L15" s="130"/>
      <c r="M15" s="131"/>
      <c r="N15" s="131"/>
      <c r="O15" s="131"/>
      <c r="P15" s="129"/>
      <c r="Q15" s="127"/>
      <c r="R15" s="119"/>
      <c r="S15" s="132"/>
      <c r="T15" s="133"/>
      <c r="U15" s="134"/>
      <c r="V15" s="135"/>
      <c r="W15" s="135"/>
      <c r="X15" s="135"/>
      <c r="Y15" s="135"/>
      <c r="Z15" s="135"/>
      <c r="AA15" s="135"/>
      <c r="AB15" s="135"/>
      <c r="AC15" s="135"/>
    </row>
    <row r="16" ht="20.25" hidden="1" customHeight="1" outlineLevel="1">
      <c r="B16" s="125"/>
      <c r="C16" s="126"/>
      <c r="D16" s="127"/>
      <c r="E16" s="127"/>
      <c r="F16" s="127"/>
      <c r="G16" s="127"/>
      <c r="H16" s="127"/>
      <c r="I16" s="127"/>
      <c r="J16" s="129"/>
      <c r="K16" s="129"/>
      <c r="L16" s="130"/>
      <c r="M16" s="131"/>
      <c r="N16" s="131"/>
      <c r="O16" s="131"/>
      <c r="P16" s="129"/>
      <c r="Q16" s="127"/>
      <c r="R16" s="119"/>
      <c r="S16" s="132"/>
      <c r="T16" s="133"/>
      <c r="U16" s="134"/>
      <c r="V16" s="135"/>
      <c r="W16" s="135"/>
      <c r="X16" s="135"/>
      <c r="Y16" s="135"/>
      <c r="Z16" s="135"/>
      <c r="AA16" s="135"/>
      <c r="AB16" s="135"/>
      <c r="AC16" s="135"/>
    </row>
    <row r="17" ht="20.25" hidden="1" customHeight="1" outlineLevel="1">
      <c r="B17" s="125"/>
      <c r="C17" s="126"/>
      <c r="D17" s="127"/>
      <c r="E17" s="127"/>
      <c r="F17" s="128"/>
      <c r="G17" s="127"/>
      <c r="H17" s="127"/>
      <c r="I17" s="127"/>
      <c r="J17" s="129"/>
      <c r="K17" s="129"/>
      <c r="L17" s="130"/>
      <c r="M17" s="131"/>
      <c r="N17" s="131"/>
      <c r="O17" s="131"/>
      <c r="P17" s="129"/>
      <c r="Q17" s="127"/>
      <c r="R17" s="119"/>
      <c r="S17" s="132"/>
      <c r="T17" s="133"/>
      <c r="U17" s="134"/>
      <c r="V17" s="135"/>
      <c r="W17" s="135"/>
      <c r="X17" s="135"/>
      <c r="Y17" s="135"/>
      <c r="Z17" s="135"/>
      <c r="AA17" s="135"/>
      <c r="AB17" s="135"/>
      <c r="AC17" s="135"/>
    </row>
    <row r="18" ht="20.25" hidden="1" customHeight="1" outlineLevel="1">
      <c r="B18" s="125"/>
      <c r="C18" s="126"/>
      <c r="D18" s="127"/>
      <c r="E18" s="127"/>
      <c r="F18" s="128"/>
      <c r="G18" s="127"/>
      <c r="H18" s="127"/>
      <c r="I18" s="127"/>
      <c r="J18" s="129"/>
      <c r="K18" s="129"/>
      <c r="L18" s="130"/>
      <c r="M18" s="131"/>
      <c r="N18" s="131"/>
      <c r="O18" s="131"/>
      <c r="P18" s="129"/>
      <c r="Q18" s="127"/>
      <c r="R18" s="119"/>
      <c r="S18" s="132"/>
      <c r="T18" s="133"/>
      <c r="U18" s="134"/>
      <c r="V18" s="135"/>
      <c r="W18" s="135"/>
      <c r="X18" s="135"/>
      <c r="Y18" s="135"/>
      <c r="Z18" s="135"/>
      <c r="AA18" s="135"/>
      <c r="AB18" s="135"/>
      <c r="AC18" s="135"/>
    </row>
    <row r="19" ht="20.25" hidden="1" customHeight="1" outlineLevel="1">
      <c r="B19" s="125"/>
      <c r="C19" s="126"/>
      <c r="D19" s="127"/>
      <c r="E19" s="127"/>
      <c r="F19" s="128"/>
      <c r="G19" s="127"/>
      <c r="H19" s="127"/>
      <c r="I19" s="127"/>
      <c r="J19" s="129"/>
      <c r="K19" s="129"/>
      <c r="L19" s="130"/>
      <c r="M19" s="131"/>
      <c r="N19" s="131"/>
      <c r="O19" s="131"/>
      <c r="P19" s="129"/>
      <c r="Q19" s="127"/>
      <c r="R19" s="119"/>
      <c r="S19" s="132"/>
      <c r="T19" s="133"/>
      <c r="U19" s="134"/>
      <c r="V19" s="135"/>
      <c r="W19" s="135"/>
      <c r="X19" s="135"/>
      <c r="Y19" s="135"/>
      <c r="Z19" s="135"/>
      <c r="AA19" s="135"/>
      <c r="AB19" s="135"/>
      <c r="AC19" s="135"/>
    </row>
    <row r="20" ht="20.25" hidden="1" customHeight="1" outlineLevel="1">
      <c r="B20" s="125"/>
      <c r="C20" s="126"/>
      <c r="D20" s="127"/>
      <c r="E20" s="127"/>
      <c r="F20" s="127"/>
      <c r="G20" s="127"/>
      <c r="H20" s="127"/>
      <c r="I20" s="127"/>
      <c r="J20" s="129"/>
      <c r="K20" s="129"/>
      <c r="L20" s="130"/>
      <c r="M20" s="131"/>
      <c r="N20" s="131"/>
      <c r="O20" s="131"/>
      <c r="P20" s="129"/>
      <c r="Q20" s="127"/>
      <c r="R20" s="119"/>
      <c r="S20" s="132"/>
      <c r="T20" s="133"/>
      <c r="U20" s="134"/>
      <c r="V20" s="135"/>
      <c r="W20" s="135"/>
      <c r="X20" s="135"/>
      <c r="Y20" s="135"/>
      <c r="Z20" s="135"/>
      <c r="AA20" s="135"/>
      <c r="AB20" s="135"/>
      <c r="AC20" s="135"/>
    </row>
    <row r="21" ht="20.25" hidden="1" customHeight="1" outlineLevel="1">
      <c r="B21" s="125"/>
      <c r="C21" s="136"/>
      <c r="D21" s="127"/>
      <c r="E21" s="127"/>
      <c r="F21" s="127"/>
      <c r="G21" s="127"/>
      <c r="H21" s="127"/>
      <c r="I21" s="127"/>
      <c r="J21" s="129"/>
      <c r="K21" s="129"/>
      <c r="L21" s="130"/>
      <c r="M21" s="130"/>
      <c r="N21" s="130"/>
      <c r="O21" s="130"/>
      <c r="P21" s="129"/>
      <c r="Q21" s="127"/>
      <c r="R21" s="119"/>
      <c r="S21" s="137"/>
      <c r="T21" s="133"/>
      <c r="U21" s="134"/>
      <c r="V21" s="135"/>
      <c r="W21" s="135"/>
      <c r="X21" s="135"/>
      <c r="Y21" s="135"/>
      <c r="Z21" s="135"/>
      <c r="AA21" s="135"/>
      <c r="AB21" s="135"/>
      <c r="AC21" s="135"/>
    </row>
    <row r="22" ht="20.25" hidden="1" customHeight="1" outlineLevel="1">
      <c r="B22" s="125"/>
      <c r="C22" s="136"/>
      <c r="D22" s="127"/>
      <c r="E22" s="127"/>
      <c r="F22" s="127"/>
      <c r="G22" s="127"/>
      <c r="H22" s="127"/>
      <c r="I22" s="127"/>
      <c r="J22" s="129"/>
      <c r="K22" s="129"/>
      <c r="L22" s="130"/>
      <c r="M22" s="130"/>
      <c r="N22" s="130"/>
      <c r="O22" s="130"/>
      <c r="P22" s="129"/>
      <c r="Q22" s="127"/>
      <c r="R22" s="119"/>
      <c r="S22" s="132"/>
      <c r="T22" s="133"/>
      <c r="U22" s="134"/>
      <c r="V22" s="135"/>
      <c r="W22" s="135"/>
      <c r="X22" s="135"/>
      <c r="Y22" s="135"/>
      <c r="Z22" s="135"/>
      <c r="AA22" s="135"/>
      <c r="AB22" s="135"/>
      <c r="AC22" s="135"/>
    </row>
    <row r="23" ht="20.25" hidden="1" customHeight="1" outlineLevel="1">
      <c r="B23" s="125"/>
      <c r="C23" s="136"/>
      <c r="D23" s="127"/>
      <c r="E23" s="127"/>
      <c r="F23" s="127"/>
      <c r="G23" s="127"/>
      <c r="H23" s="127"/>
      <c r="I23" s="127"/>
      <c r="J23" s="129"/>
      <c r="K23" s="129"/>
      <c r="L23" s="130"/>
      <c r="M23" s="130"/>
      <c r="N23" s="130"/>
      <c r="O23" s="130"/>
      <c r="P23" s="129"/>
      <c r="Q23" s="127"/>
      <c r="R23" s="119"/>
      <c r="S23" s="132"/>
      <c r="T23" s="133"/>
      <c r="U23" s="134"/>
      <c r="V23" s="135"/>
      <c r="W23" s="135"/>
      <c r="X23" s="135"/>
      <c r="Y23" s="135"/>
      <c r="Z23" s="135"/>
      <c r="AA23" s="135"/>
      <c r="AB23" s="135"/>
      <c r="AC23" s="135"/>
    </row>
    <row r="24" ht="20.25" hidden="1" customHeight="1" outlineLevel="1">
      <c r="B24" s="125"/>
      <c r="C24" s="136"/>
      <c r="D24" s="127"/>
      <c r="E24" s="127"/>
      <c r="F24" s="127"/>
      <c r="G24" s="127"/>
      <c r="H24" s="127"/>
      <c r="I24" s="127"/>
      <c r="J24" s="129"/>
      <c r="K24" s="129"/>
      <c r="L24" s="130"/>
      <c r="M24" s="130"/>
      <c r="N24" s="130"/>
      <c r="O24" s="130"/>
      <c r="P24" s="129"/>
      <c r="Q24" s="127"/>
      <c r="R24" s="119"/>
      <c r="S24" s="137"/>
      <c r="T24" s="133"/>
      <c r="U24" s="134"/>
      <c r="V24" s="135"/>
      <c r="W24" s="135"/>
      <c r="X24" s="135"/>
      <c r="Y24" s="135"/>
      <c r="Z24" s="135"/>
      <c r="AA24" s="135"/>
      <c r="AB24" s="135"/>
      <c r="AC24" s="135"/>
    </row>
    <row r="25" ht="20.25" hidden="1" customHeight="1" outlineLevel="1">
      <c r="B25" s="125"/>
      <c r="C25" s="136"/>
      <c r="D25" s="127"/>
      <c r="E25" s="127"/>
      <c r="F25" s="127"/>
      <c r="G25" s="127"/>
      <c r="H25" s="127"/>
      <c r="I25" s="127"/>
      <c r="J25" s="129"/>
      <c r="K25" s="129"/>
      <c r="L25" s="130"/>
      <c r="M25" s="130"/>
      <c r="N25" s="130"/>
      <c r="O25" s="130"/>
      <c r="P25" s="129"/>
      <c r="Q25" s="127"/>
      <c r="R25" s="119"/>
      <c r="S25" s="137"/>
      <c r="T25" s="133"/>
      <c r="U25" s="134"/>
      <c r="V25" s="135"/>
      <c r="W25" s="135"/>
      <c r="X25" s="135"/>
      <c r="Y25" s="135"/>
      <c r="Z25" s="135"/>
      <c r="AA25" s="135"/>
      <c r="AB25" s="135"/>
      <c r="AC25" s="135"/>
    </row>
    <row r="26" ht="20.25" hidden="1" customHeight="1" outlineLevel="1">
      <c r="B26" s="125"/>
      <c r="C26" s="136"/>
      <c r="D26" s="127"/>
      <c r="E26" s="127"/>
      <c r="F26" s="127"/>
      <c r="G26" s="127"/>
      <c r="H26" s="127"/>
      <c r="I26" s="127"/>
      <c r="J26" s="129"/>
      <c r="K26" s="129"/>
      <c r="L26" s="130"/>
      <c r="M26" s="130"/>
      <c r="N26" s="130"/>
      <c r="O26" s="130"/>
      <c r="P26" s="129"/>
      <c r="Q26" s="127"/>
      <c r="R26" s="119"/>
      <c r="S26" s="137"/>
      <c r="T26" s="133"/>
      <c r="U26" s="134"/>
      <c r="V26" s="135"/>
      <c r="W26" s="135"/>
      <c r="X26" s="135"/>
      <c r="Y26" s="135"/>
      <c r="Z26" s="135"/>
      <c r="AA26" s="135"/>
      <c r="AB26" s="135"/>
      <c r="AC26" s="135"/>
    </row>
    <row r="27" ht="20.25" hidden="1" customHeight="1" outlineLevel="1">
      <c r="B27" s="125"/>
      <c r="C27" s="136"/>
      <c r="D27" s="127"/>
      <c r="E27" s="127"/>
      <c r="F27" s="127"/>
      <c r="G27" s="127"/>
      <c r="H27" s="127"/>
      <c r="I27" s="127"/>
      <c r="J27" s="129"/>
      <c r="K27" s="129"/>
      <c r="L27" s="130"/>
      <c r="M27" s="130"/>
      <c r="N27" s="130"/>
      <c r="O27" s="130"/>
      <c r="P27" s="129"/>
      <c r="Q27" s="127"/>
      <c r="R27" s="119"/>
      <c r="S27" s="137"/>
      <c r="T27" s="133"/>
      <c r="U27" s="134"/>
      <c r="V27" s="135"/>
      <c r="W27" s="135"/>
      <c r="X27" s="135"/>
      <c r="Y27" s="135"/>
      <c r="Z27" s="135"/>
      <c r="AA27" s="135"/>
      <c r="AB27" s="135"/>
      <c r="AC27" s="135"/>
    </row>
    <row r="28" ht="20.25" hidden="1" customHeight="1" outlineLevel="1">
      <c r="B28" s="125"/>
      <c r="C28" s="136"/>
      <c r="D28" s="127"/>
      <c r="E28" s="127"/>
      <c r="F28" s="127"/>
      <c r="G28" s="127"/>
      <c r="H28" s="127"/>
      <c r="I28" s="127"/>
      <c r="J28" s="129"/>
      <c r="K28" s="129"/>
      <c r="L28" s="130"/>
      <c r="M28" s="130"/>
      <c r="N28" s="130"/>
      <c r="O28" s="130"/>
      <c r="P28" s="129"/>
      <c r="Q28" s="127"/>
      <c r="R28" s="119"/>
      <c r="S28" s="137"/>
      <c r="T28" s="133"/>
      <c r="U28" s="134"/>
      <c r="V28" s="135"/>
      <c r="W28" s="135"/>
      <c r="X28" s="135"/>
      <c r="Y28" s="135"/>
      <c r="Z28" s="135"/>
      <c r="AA28" s="135"/>
      <c r="AB28" s="135"/>
      <c r="AC28" s="135"/>
    </row>
    <row r="29" ht="20.25" hidden="1" customHeight="1" outlineLevel="1">
      <c r="B29" s="125"/>
      <c r="C29" s="136"/>
      <c r="D29" s="127"/>
      <c r="E29" s="127"/>
      <c r="F29" s="127"/>
      <c r="G29" s="127"/>
      <c r="H29" s="127"/>
      <c r="I29" s="127"/>
      <c r="J29" s="129"/>
      <c r="K29" s="129"/>
      <c r="L29" s="130"/>
      <c r="M29" s="130"/>
      <c r="N29" s="130"/>
      <c r="O29" s="130"/>
      <c r="P29" s="129"/>
      <c r="Q29" s="127"/>
      <c r="R29" s="119"/>
      <c r="S29" s="137"/>
      <c r="T29" s="133"/>
      <c r="U29" s="134"/>
      <c r="V29" s="135"/>
      <c r="W29" s="135"/>
      <c r="X29" s="135"/>
      <c r="Y29" s="135"/>
      <c r="Z29" s="135"/>
      <c r="AA29" s="135"/>
      <c r="AB29" s="135"/>
      <c r="AC29" s="135"/>
    </row>
    <row r="30" ht="20.25" hidden="1" customHeight="1" outlineLevel="1">
      <c r="B30" s="125"/>
      <c r="C30" s="136"/>
      <c r="D30" s="127"/>
      <c r="E30" s="127"/>
      <c r="F30" s="127"/>
      <c r="G30" s="127"/>
      <c r="H30" s="127"/>
      <c r="I30" s="127"/>
      <c r="J30" s="129"/>
      <c r="K30" s="129"/>
      <c r="L30" s="130"/>
      <c r="M30" s="130"/>
      <c r="N30" s="130"/>
      <c r="O30" s="130"/>
      <c r="P30" s="129"/>
      <c r="Q30" s="127"/>
      <c r="R30" s="119"/>
      <c r="S30" s="137"/>
      <c r="T30" s="133"/>
      <c r="U30" s="134"/>
      <c r="V30" s="135"/>
      <c r="W30" s="135"/>
      <c r="X30" s="135"/>
      <c r="Y30" s="135"/>
      <c r="Z30" s="135"/>
      <c r="AA30" s="135"/>
      <c r="AB30" s="135"/>
      <c r="AC30" s="135"/>
    </row>
    <row r="31" ht="20.25" hidden="1" customHeight="1" outlineLevel="1">
      <c r="B31" s="125"/>
      <c r="C31" s="136"/>
      <c r="D31" s="127"/>
      <c r="E31" s="127"/>
      <c r="F31" s="127"/>
      <c r="G31" s="127"/>
      <c r="H31" s="127"/>
      <c r="I31" s="127"/>
      <c r="J31" s="129"/>
      <c r="K31" s="129"/>
      <c r="L31" s="130"/>
      <c r="M31" s="130"/>
      <c r="N31" s="130"/>
      <c r="O31" s="130"/>
      <c r="P31" s="129"/>
      <c r="Q31" s="127"/>
      <c r="R31" s="119"/>
      <c r="S31" s="137"/>
      <c r="T31" s="133"/>
      <c r="U31" s="134"/>
      <c r="V31" s="135"/>
      <c r="W31" s="135"/>
      <c r="X31" s="135"/>
      <c r="Y31" s="135"/>
      <c r="Z31" s="135"/>
      <c r="AA31" s="135"/>
      <c r="AB31" s="135"/>
      <c r="AC31" s="135"/>
    </row>
    <row r="32" ht="20.25" hidden="1" customHeight="1" outlineLevel="1">
      <c r="B32" s="125"/>
      <c r="C32" s="136"/>
      <c r="D32" s="127"/>
      <c r="E32" s="127"/>
      <c r="F32" s="127"/>
      <c r="G32" s="127"/>
      <c r="H32" s="127"/>
      <c r="I32" s="127"/>
      <c r="J32" s="129"/>
      <c r="K32" s="129"/>
      <c r="L32" s="130"/>
      <c r="M32" s="130"/>
      <c r="N32" s="130"/>
      <c r="O32" s="130"/>
      <c r="P32" s="129"/>
      <c r="Q32" s="127"/>
      <c r="R32" s="119"/>
      <c r="S32" s="137"/>
      <c r="T32" s="133"/>
      <c r="U32" s="134"/>
      <c r="V32" s="135"/>
      <c r="W32" s="135"/>
      <c r="X32" s="135"/>
      <c r="Y32" s="135"/>
      <c r="Z32" s="135"/>
      <c r="AA32" s="135"/>
      <c r="AB32" s="135"/>
      <c r="AC32" s="135"/>
    </row>
    <row r="33" ht="20.25" hidden="1" customHeight="1" outlineLevel="1">
      <c r="B33" s="125"/>
      <c r="C33" s="136"/>
      <c r="D33" s="127"/>
      <c r="E33" s="127"/>
      <c r="F33" s="127"/>
      <c r="G33" s="127"/>
      <c r="H33" s="127"/>
      <c r="I33" s="127"/>
      <c r="J33" s="129"/>
      <c r="K33" s="129"/>
      <c r="L33" s="130"/>
      <c r="M33" s="130"/>
      <c r="N33" s="130"/>
      <c r="O33" s="130"/>
      <c r="P33" s="129"/>
      <c r="Q33" s="127"/>
      <c r="R33" s="119"/>
      <c r="S33" s="137"/>
      <c r="T33" s="133"/>
      <c r="U33" s="134"/>
      <c r="V33" s="135"/>
      <c r="W33" s="135"/>
      <c r="X33" s="135"/>
      <c r="Y33" s="135"/>
      <c r="Z33" s="135"/>
      <c r="AA33" s="135"/>
      <c r="AB33" s="135"/>
      <c r="AC33" s="135"/>
    </row>
    <row r="34" ht="20.25" hidden="1" customHeight="1" outlineLevel="1">
      <c r="B34" s="125"/>
      <c r="C34" s="136"/>
      <c r="D34" s="127"/>
      <c r="E34" s="127"/>
      <c r="F34" s="127"/>
      <c r="G34" s="127"/>
      <c r="H34" s="127"/>
      <c r="I34" s="127"/>
      <c r="J34" s="129"/>
      <c r="K34" s="129"/>
      <c r="L34" s="130"/>
      <c r="M34" s="130"/>
      <c r="N34" s="130"/>
      <c r="O34" s="130"/>
      <c r="P34" s="129"/>
      <c r="Q34" s="127"/>
      <c r="R34" s="119"/>
      <c r="S34" s="137"/>
      <c r="T34" s="133"/>
      <c r="U34" s="134"/>
      <c r="V34" s="135"/>
      <c r="W34" s="135"/>
      <c r="X34" s="135"/>
      <c r="Y34" s="135"/>
      <c r="Z34" s="135"/>
      <c r="AA34" s="135"/>
      <c r="AB34" s="135"/>
      <c r="AC34" s="135"/>
    </row>
    <row r="35" ht="20.25" hidden="1" customHeight="1" outlineLevel="1">
      <c r="B35" s="125"/>
      <c r="C35" s="136"/>
      <c r="D35" s="127"/>
      <c r="E35" s="127"/>
      <c r="F35" s="127"/>
      <c r="G35" s="127"/>
      <c r="H35" s="127"/>
      <c r="I35" s="127"/>
      <c r="J35" s="129"/>
      <c r="K35" s="129"/>
      <c r="L35" s="130"/>
      <c r="M35" s="130"/>
      <c r="N35" s="130"/>
      <c r="O35" s="130"/>
      <c r="P35" s="129"/>
      <c r="Q35" s="127"/>
      <c r="R35" s="119"/>
      <c r="S35" s="137"/>
      <c r="T35" s="133"/>
      <c r="U35" s="134"/>
      <c r="V35" s="135"/>
      <c r="W35" s="135"/>
      <c r="X35" s="135"/>
      <c r="Y35" s="135"/>
      <c r="Z35" s="135"/>
      <c r="AA35" s="135"/>
      <c r="AB35" s="135"/>
      <c r="AC35" s="135"/>
    </row>
    <row r="36" ht="20.25" hidden="1" customHeight="1" outlineLevel="1">
      <c r="B36" s="125"/>
      <c r="C36" s="136"/>
      <c r="D36" s="127"/>
      <c r="E36" s="127"/>
      <c r="F36" s="127"/>
      <c r="G36" s="127"/>
      <c r="H36" s="127"/>
      <c r="I36" s="127"/>
      <c r="J36" s="129"/>
      <c r="K36" s="129"/>
      <c r="L36" s="130"/>
      <c r="M36" s="130"/>
      <c r="N36" s="130"/>
      <c r="O36" s="130"/>
      <c r="P36" s="129"/>
      <c r="Q36" s="127"/>
      <c r="R36" s="119"/>
      <c r="S36" s="132"/>
      <c r="T36" s="133"/>
      <c r="U36" s="134"/>
      <c r="V36" s="135"/>
      <c r="W36" s="135"/>
      <c r="X36" s="135"/>
      <c r="Y36" s="135"/>
      <c r="Z36" s="135"/>
      <c r="AA36" s="135"/>
      <c r="AB36" s="135"/>
      <c r="AC36" s="135"/>
    </row>
    <row r="37" ht="20.25" hidden="1" customHeight="1" outlineLevel="1">
      <c r="B37" s="125"/>
      <c r="C37" s="136"/>
      <c r="D37" s="127"/>
      <c r="E37" s="127"/>
      <c r="F37" s="127"/>
      <c r="G37" s="127"/>
      <c r="H37" s="127"/>
      <c r="I37" s="127"/>
      <c r="J37" s="129"/>
      <c r="K37" s="129"/>
      <c r="L37" s="130"/>
      <c r="M37" s="130"/>
      <c r="N37" s="130"/>
      <c r="O37" s="130"/>
      <c r="P37" s="129"/>
      <c r="Q37" s="127"/>
      <c r="R37" s="119"/>
      <c r="S37" s="137"/>
      <c r="T37" s="133"/>
      <c r="U37" s="134"/>
      <c r="V37" s="135"/>
      <c r="W37" s="135"/>
      <c r="X37" s="135"/>
      <c r="Y37" s="135"/>
      <c r="Z37" s="135"/>
      <c r="AA37" s="135"/>
      <c r="AB37" s="135"/>
      <c r="AC37" s="135"/>
    </row>
    <row r="38" ht="20.25" hidden="1" customHeight="1" outlineLevel="1">
      <c r="B38" s="125"/>
      <c r="C38" s="136"/>
      <c r="D38" s="127"/>
      <c r="E38" s="127"/>
      <c r="F38" s="127"/>
      <c r="G38" s="127"/>
      <c r="H38" s="127"/>
      <c r="I38" s="127"/>
      <c r="J38" s="129"/>
      <c r="K38" s="129"/>
      <c r="L38" s="130"/>
      <c r="M38" s="130"/>
      <c r="N38" s="130"/>
      <c r="O38" s="130"/>
      <c r="P38" s="129"/>
      <c r="Q38" s="127"/>
      <c r="R38" s="119"/>
      <c r="S38" s="137"/>
      <c r="T38" s="133"/>
      <c r="U38" s="134"/>
      <c r="V38" s="135"/>
      <c r="W38" s="135"/>
      <c r="X38" s="135"/>
      <c r="Y38" s="135"/>
      <c r="Z38" s="135"/>
      <c r="AA38" s="135"/>
      <c r="AB38" s="135"/>
      <c r="AC38" s="135"/>
    </row>
    <row r="39" ht="20.25" hidden="1" customHeight="1" outlineLevel="1">
      <c r="B39" s="125"/>
      <c r="C39" s="136"/>
      <c r="D39" s="127"/>
      <c r="E39" s="127"/>
      <c r="F39" s="127"/>
      <c r="G39" s="127"/>
      <c r="H39" s="127"/>
      <c r="I39" s="127"/>
      <c r="J39" s="129"/>
      <c r="K39" s="129"/>
      <c r="L39" s="130"/>
      <c r="M39" s="130"/>
      <c r="N39" s="130"/>
      <c r="O39" s="130"/>
      <c r="P39" s="129"/>
      <c r="Q39" s="127"/>
      <c r="R39" s="119"/>
      <c r="S39" s="137"/>
      <c r="T39" s="133"/>
      <c r="U39" s="134"/>
      <c r="V39" s="135"/>
      <c r="W39" s="135"/>
      <c r="X39" s="135"/>
      <c r="Y39" s="135"/>
      <c r="Z39" s="135"/>
      <c r="AA39" s="135"/>
      <c r="AB39" s="135"/>
      <c r="AC39" s="135"/>
    </row>
    <row r="40" ht="20.25" hidden="1" customHeight="1" outlineLevel="1">
      <c r="B40" s="125"/>
      <c r="C40" s="136"/>
      <c r="D40" s="127"/>
      <c r="E40" s="127"/>
      <c r="F40" s="127"/>
      <c r="G40" s="127"/>
      <c r="H40" s="127"/>
      <c r="I40" s="127"/>
      <c r="J40" s="129"/>
      <c r="K40" s="129"/>
      <c r="L40" s="130"/>
      <c r="M40" s="130"/>
      <c r="N40" s="130"/>
      <c r="O40" s="130"/>
      <c r="P40" s="129"/>
      <c r="Q40" s="127"/>
      <c r="R40" s="119"/>
      <c r="S40" s="132"/>
      <c r="T40" s="133"/>
      <c r="U40" s="134"/>
      <c r="V40" s="135"/>
      <c r="W40" s="135"/>
      <c r="X40" s="135"/>
      <c r="Y40" s="135"/>
      <c r="Z40" s="135"/>
      <c r="AA40" s="135"/>
      <c r="AB40" s="135"/>
      <c r="AC40" s="135"/>
    </row>
    <row r="41" ht="20.25" hidden="1" customHeight="1" outlineLevel="1">
      <c r="B41" s="125"/>
      <c r="C41" s="136"/>
      <c r="D41" s="127"/>
      <c r="E41" s="127"/>
      <c r="F41" s="127"/>
      <c r="G41" s="127"/>
      <c r="H41" s="127"/>
      <c r="I41" s="127"/>
      <c r="J41" s="129"/>
      <c r="K41" s="129"/>
      <c r="L41" s="130"/>
      <c r="M41" s="130"/>
      <c r="N41" s="130"/>
      <c r="O41" s="130"/>
      <c r="P41" s="129"/>
      <c r="Q41" s="127"/>
      <c r="R41" s="119"/>
      <c r="S41" s="137"/>
      <c r="T41" s="133"/>
      <c r="U41" s="134"/>
      <c r="V41" s="135"/>
      <c r="W41" s="135"/>
      <c r="X41" s="135"/>
      <c r="Y41" s="135"/>
      <c r="Z41" s="135"/>
      <c r="AA41" s="135"/>
      <c r="AB41" s="135"/>
      <c r="AC41" s="135"/>
    </row>
    <row r="42" ht="20.25" hidden="1" customHeight="1" outlineLevel="1">
      <c r="B42" s="125"/>
      <c r="C42" s="136"/>
      <c r="D42" s="127"/>
      <c r="E42" s="127"/>
      <c r="F42" s="127"/>
      <c r="G42" s="127"/>
      <c r="H42" s="127"/>
      <c r="I42" s="127"/>
      <c r="J42" s="129"/>
      <c r="K42" s="129"/>
      <c r="L42" s="130"/>
      <c r="M42" s="130"/>
      <c r="N42" s="130"/>
      <c r="O42" s="130"/>
      <c r="P42" s="129"/>
      <c r="Q42" s="127"/>
      <c r="R42" s="119"/>
      <c r="S42" s="137"/>
      <c r="T42" s="133"/>
      <c r="U42" s="134"/>
      <c r="V42" s="135"/>
      <c r="W42" s="135"/>
      <c r="X42" s="135"/>
      <c r="Y42" s="135"/>
      <c r="Z42" s="135"/>
      <c r="AA42" s="135"/>
      <c r="AB42" s="135"/>
      <c r="AC42" s="135"/>
    </row>
    <row r="43" ht="20.25" hidden="1" customHeight="1" outlineLevel="1">
      <c r="B43" s="125"/>
      <c r="C43" s="136"/>
      <c r="D43" s="127"/>
      <c r="E43" s="127"/>
      <c r="F43" s="127"/>
      <c r="G43" s="127"/>
      <c r="H43" s="127"/>
      <c r="I43" s="127"/>
      <c r="J43" s="129"/>
      <c r="K43" s="129"/>
      <c r="L43" s="130"/>
      <c r="M43" s="130"/>
      <c r="N43" s="130"/>
      <c r="O43" s="130"/>
      <c r="P43" s="129"/>
      <c r="Q43" s="127"/>
      <c r="R43" s="119"/>
      <c r="S43" s="137"/>
      <c r="T43" s="133"/>
      <c r="U43" s="134"/>
      <c r="V43" s="135"/>
      <c r="W43" s="135"/>
      <c r="X43" s="135"/>
      <c r="Y43" s="135"/>
      <c r="Z43" s="135"/>
      <c r="AA43" s="135"/>
      <c r="AB43" s="135"/>
      <c r="AC43" s="135"/>
    </row>
    <row r="44" ht="20.25" hidden="1" customHeight="1" outlineLevel="1">
      <c r="B44" s="125"/>
      <c r="C44" s="136"/>
      <c r="D44" s="127"/>
      <c r="E44" s="127"/>
      <c r="F44" s="127"/>
      <c r="G44" s="127"/>
      <c r="H44" s="127"/>
      <c r="I44" s="127"/>
      <c r="J44" s="129"/>
      <c r="K44" s="129"/>
      <c r="L44" s="130"/>
      <c r="M44" s="130"/>
      <c r="N44" s="130"/>
      <c r="O44" s="130"/>
      <c r="P44" s="129"/>
      <c r="Q44" s="127"/>
      <c r="R44" s="119"/>
      <c r="S44" s="132"/>
      <c r="T44" s="133"/>
      <c r="U44" s="134"/>
      <c r="V44" s="135"/>
      <c r="W44" s="135"/>
      <c r="X44" s="135"/>
      <c r="Y44" s="135"/>
      <c r="Z44" s="135"/>
      <c r="AA44" s="135"/>
      <c r="AB44" s="135"/>
      <c r="AC44" s="135"/>
    </row>
    <row r="45" ht="20.25" hidden="1" customHeight="1" outlineLevel="1">
      <c r="B45" s="125"/>
      <c r="C45" s="138"/>
      <c r="D45" s="127"/>
      <c r="E45" s="127"/>
      <c r="F45" s="128"/>
      <c r="G45" s="127"/>
      <c r="H45" s="127"/>
      <c r="I45" s="127"/>
      <c r="J45" s="129"/>
      <c r="K45" s="129"/>
      <c r="L45" s="130"/>
      <c r="M45" s="130"/>
      <c r="N45" s="130"/>
      <c r="O45" s="130"/>
      <c r="P45" s="129"/>
      <c r="Q45" s="127"/>
      <c r="R45" s="119"/>
      <c r="S45" s="132"/>
      <c r="T45" s="133"/>
      <c r="U45" s="134"/>
      <c r="V45" s="135"/>
      <c r="W45" s="135"/>
      <c r="X45" s="135"/>
      <c r="Y45" s="135"/>
      <c r="Z45" s="135"/>
      <c r="AA45" s="135"/>
      <c r="AB45" s="135"/>
      <c r="AC45" s="135"/>
    </row>
    <row r="46" ht="20.25" hidden="1" customHeight="1" outlineLevel="1">
      <c r="B46" s="125"/>
      <c r="C46" s="136"/>
      <c r="D46" s="127"/>
      <c r="E46" s="127"/>
      <c r="F46" s="127"/>
      <c r="G46" s="127"/>
      <c r="H46" s="127"/>
      <c r="I46" s="127"/>
      <c r="J46" s="129"/>
      <c r="K46" s="129"/>
      <c r="L46" s="130"/>
      <c r="M46" s="130"/>
      <c r="N46" s="130"/>
      <c r="O46" s="130"/>
      <c r="P46" s="129"/>
      <c r="Q46" s="127"/>
      <c r="R46" s="119"/>
      <c r="S46" s="132"/>
      <c r="T46" s="133"/>
      <c r="U46" s="134"/>
      <c r="V46" s="135"/>
      <c r="W46" s="135"/>
      <c r="X46" s="135"/>
      <c r="Y46" s="135"/>
      <c r="Z46" s="135"/>
      <c r="AA46" s="135"/>
      <c r="AB46" s="135"/>
      <c r="AC46" s="135"/>
    </row>
    <row r="47" ht="20.25" hidden="1" customHeight="1" outlineLevel="1">
      <c r="B47" s="125"/>
      <c r="C47" s="136"/>
      <c r="D47" s="127"/>
      <c r="E47" s="127"/>
      <c r="F47" s="127"/>
      <c r="G47" s="127"/>
      <c r="H47" s="127"/>
      <c r="I47" s="127"/>
      <c r="J47" s="129"/>
      <c r="K47" s="129"/>
      <c r="L47" s="130"/>
      <c r="M47" s="130"/>
      <c r="N47" s="130"/>
      <c r="O47" s="130"/>
      <c r="P47" s="129"/>
      <c r="Q47" s="127"/>
      <c r="R47" s="119"/>
      <c r="S47" s="132"/>
      <c r="T47" s="133"/>
      <c r="U47" s="134"/>
      <c r="V47" s="135"/>
      <c r="W47" s="135"/>
      <c r="X47" s="135"/>
      <c r="Y47" s="135"/>
      <c r="Z47" s="135"/>
      <c r="AA47" s="135"/>
      <c r="AB47" s="135"/>
      <c r="AC47" s="135"/>
    </row>
    <row r="48" ht="20.25" hidden="1" customHeight="1" outlineLevel="1">
      <c r="B48" s="125"/>
      <c r="C48" s="136"/>
      <c r="D48" s="127"/>
      <c r="E48" s="127"/>
      <c r="F48" s="127"/>
      <c r="G48" s="127"/>
      <c r="H48" s="127"/>
      <c r="I48" s="127"/>
      <c r="J48" s="129"/>
      <c r="K48" s="129"/>
      <c r="L48" s="130"/>
      <c r="M48" s="130"/>
      <c r="N48" s="130"/>
      <c r="O48" s="130"/>
      <c r="P48" s="129"/>
      <c r="Q48" s="127"/>
      <c r="R48" s="119"/>
      <c r="S48" s="132"/>
      <c r="T48" s="133"/>
      <c r="U48" s="134"/>
      <c r="V48" s="135"/>
      <c r="W48" s="135"/>
      <c r="X48" s="135"/>
      <c r="Y48" s="135"/>
      <c r="Z48" s="135"/>
      <c r="AA48" s="135"/>
      <c r="AB48" s="135"/>
      <c r="AC48" s="135"/>
    </row>
    <row r="49" ht="20.25" hidden="1" customHeight="1" outlineLevel="1">
      <c r="B49" s="125"/>
      <c r="C49" s="136"/>
      <c r="D49" s="127"/>
      <c r="E49" s="127"/>
      <c r="F49" s="127"/>
      <c r="G49" s="127"/>
      <c r="H49" s="127"/>
      <c r="I49" s="127"/>
      <c r="J49" s="129"/>
      <c r="K49" s="129"/>
      <c r="L49" s="130"/>
      <c r="M49" s="130"/>
      <c r="N49" s="130"/>
      <c r="O49" s="130"/>
      <c r="P49" s="129"/>
      <c r="Q49" s="127"/>
      <c r="R49" s="119"/>
      <c r="S49" s="137"/>
      <c r="T49" s="133"/>
      <c r="U49" s="134"/>
      <c r="V49" s="135"/>
      <c r="W49" s="135"/>
      <c r="X49" s="135"/>
      <c r="Y49" s="135"/>
      <c r="Z49" s="135"/>
      <c r="AA49" s="135"/>
      <c r="AB49" s="135"/>
      <c r="AC49" s="135"/>
    </row>
    <row r="50" ht="20.25" hidden="1" customHeight="1" outlineLevel="1">
      <c r="B50" s="125"/>
      <c r="C50" s="136"/>
      <c r="D50" s="127"/>
      <c r="E50" s="127"/>
      <c r="F50" s="127"/>
      <c r="G50" s="127"/>
      <c r="H50" s="127"/>
      <c r="I50" s="127"/>
      <c r="J50" s="129"/>
      <c r="K50" s="129"/>
      <c r="L50" s="130"/>
      <c r="M50" s="130"/>
      <c r="N50" s="130"/>
      <c r="O50" s="130"/>
      <c r="P50" s="129"/>
      <c r="Q50" s="127"/>
      <c r="R50" s="119"/>
      <c r="S50" s="132"/>
      <c r="T50" s="133"/>
      <c r="U50" s="134"/>
      <c r="V50" s="135"/>
      <c r="W50" s="135"/>
      <c r="X50" s="135"/>
      <c r="Y50" s="135"/>
      <c r="Z50" s="135"/>
      <c r="AA50" s="135"/>
      <c r="AB50" s="135"/>
      <c r="AC50" s="135"/>
    </row>
    <row r="51" ht="20.25" hidden="1" customHeight="1" outlineLevel="1">
      <c r="B51" s="125"/>
      <c r="C51" s="136"/>
      <c r="D51" s="127"/>
      <c r="E51" s="127"/>
      <c r="F51" s="127"/>
      <c r="G51" s="127"/>
      <c r="H51" s="127"/>
      <c r="I51" s="127"/>
      <c r="J51" s="129"/>
      <c r="K51" s="129"/>
      <c r="L51" s="130"/>
      <c r="M51" s="130"/>
      <c r="N51" s="130"/>
      <c r="O51" s="130"/>
      <c r="P51" s="129"/>
      <c r="Q51" s="127"/>
      <c r="R51" s="119"/>
      <c r="S51" s="137"/>
      <c r="T51" s="133"/>
      <c r="U51" s="134"/>
      <c r="V51" s="135"/>
      <c r="W51" s="135"/>
      <c r="X51" s="135"/>
      <c r="Y51" s="135"/>
      <c r="Z51" s="135"/>
      <c r="AA51" s="135"/>
      <c r="AB51" s="135"/>
      <c r="AC51" s="135"/>
    </row>
    <row r="52" ht="20.25" hidden="1" customHeight="1" outlineLevel="1">
      <c r="B52" s="125"/>
      <c r="C52" s="136"/>
      <c r="D52" s="127"/>
      <c r="E52" s="127"/>
      <c r="F52" s="127"/>
      <c r="G52" s="127"/>
      <c r="H52" s="127"/>
      <c r="I52" s="127"/>
      <c r="J52" s="129"/>
      <c r="K52" s="129"/>
      <c r="L52" s="130"/>
      <c r="M52" s="130"/>
      <c r="N52" s="130"/>
      <c r="O52" s="130"/>
      <c r="P52" s="129"/>
      <c r="Q52" s="127"/>
      <c r="R52" s="119"/>
      <c r="S52" s="137"/>
      <c r="T52" s="133"/>
      <c r="U52" s="134"/>
      <c r="V52" s="135"/>
      <c r="W52" s="135"/>
      <c r="X52" s="135"/>
      <c r="Y52" s="135"/>
      <c r="Z52" s="135"/>
      <c r="AA52" s="135"/>
      <c r="AB52" s="135"/>
      <c r="AC52" s="135"/>
    </row>
    <row r="53" ht="20.25" hidden="1" customHeight="1" outlineLevel="1">
      <c r="B53" s="125"/>
      <c r="C53" s="136"/>
      <c r="D53" s="127"/>
      <c r="E53" s="127"/>
      <c r="F53" s="127"/>
      <c r="G53" s="127"/>
      <c r="H53" s="127"/>
      <c r="I53" s="127"/>
      <c r="J53" s="129"/>
      <c r="K53" s="129"/>
      <c r="L53" s="130"/>
      <c r="M53" s="130"/>
      <c r="N53" s="130"/>
      <c r="O53" s="130"/>
      <c r="P53" s="129"/>
      <c r="Q53" s="127"/>
      <c r="R53" s="119"/>
      <c r="S53" s="137"/>
      <c r="T53" s="133"/>
      <c r="U53" s="134"/>
      <c r="V53" s="135"/>
      <c r="W53" s="135"/>
      <c r="X53" s="135"/>
      <c r="Y53" s="135"/>
      <c r="Z53" s="135"/>
      <c r="AA53" s="135"/>
      <c r="AB53" s="135"/>
      <c r="AC53" s="135"/>
    </row>
    <row r="54" ht="20.25" hidden="1" customHeight="1" outlineLevel="1">
      <c r="B54" s="125"/>
      <c r="C54" s="136"/>
      <c r="D54" s="127"/>
      <c r="E54" s="127"/>
      <c r="F54" s="127"/>
      <c r="G54" s="127"/>
      <c r="H54" s="127"/>
      <c r="I54" s="127"/>
      <c r="J54" s="129"/>
      <c r="K54" s="129"/>
      <c r="L54" s="130"/>
      <c r="M54" s="130"/>
      <c r="N54" s="130"/>
      <c r="O54" s="130"/>
      <c r="P54" s="129"/>
      <c r="Q54" s="127"/>
      <c r="R54" s="119"/>
      <c r="S54" s="132"/>
      <c r="T54" s="133"/>
      <c r="U54" s="134"/>
      <c r="V54" s="135"/>
      <c r="W54" s="135"/>
      <c r="X54" s="135"/>
      <c r="Y54" s="135"/>
      <c r="Z54" s="135"/>
      <c r="AA54" s="135"/>
      <c r="AB54" s="135"/>
      <c r="AC54" s="135"/>
    </row>
    <row r="55" ht="20.25" hidden="1" customHeight="1" outlineLevel="1">
      <c r="B55" s="125"/>
      <c r="C55" s="136"/>
      <c r="D55" s="127"/>
      <c r="E55" s="127"/>
      <c r="F55" s="127"/>
      <c r="G55" s="127"/>
      <c r="H55" s="127"/>
      <c r="I55" s="127"/>
      <c r="J55" s="129"/>
      <c r="K55" s="129"/>
      <c r="L55" s="130"/>
      <c r="M55" s="130"/>
      <c r="N55" s="130"/>
      <c r="O55" s="130"/>
      <c r="P55" s="129"/>
      <c r="Q55" s="127"/>
      <c r="R55" s="119"/>
      <c r="S55" s="137"/>
      <c r="T55" s="133"/>
      <c r="U55" s="134"/>
      <c r="V55" s="135"/>
      <c r="W55" s="135"/>
      <c r="X55" s="135"/>
      <c r="Y55" s="135"/>
      <c r="Z55" s="135"/>
      <c r="AA55" s="135"/>
      <c r="AB55" s="135"/>
      <c r="AC55" s="135"/>
    </row>
    <row r="56" ht="20.25" hidden="1" customHeight="1" outlineLevel="1">
      <c r="B56" s="125"/>
      <c r="C56" s="136"/>
      <c r="D56" s="127"/>
      <c r="E56" s="127"/>
      <c r="F56" s="127"/>
      <c r="G56" s="127"/>
      <c r="H56" s="127"/>
      <c r="I56" s="127"/>
      <c r="J56" s="129"/>
      <c r="K56" s="129"/>
      <c r="L56" s="130"/>
      <c r="M56" s="130"/>
      <c r="N56" s="130"/>
      <c r="O56" s="130"/>
      <c r="P56" s="129"/>
      <c r="Q56" s="127"/>
      <c r="R56" s="119"/>
      <c r="S56" s="137"/>
      <c r="T56" s="133"/>
      <c r="U56" s="134"/>
      <c r="V56" s="135"/>
      <c r="W56" s="135"/>
      <c r="X56" s="135"/>
      <c r="Y56" s="135"/>
      <c r="Z56" s="135"/>
      <c r="AA56" s="135"/>
      <c r="AB56" s="135"/>
      <c r="AC56" s="135"/>
    </row>
    <row r="57" ht="20.25" hidden="1" customHeight="1" outlineLevel="1">
      <c r="B57" s="125"/>
      <c r="C57" s="136"/>
      <c r="D57" s="127"/>
      <c r="E57" s="127"/>
      <c r="F57" s="127"/>
      <c r="G57" s="127"/>
      <c r="H57" s="127"/>
      <c r="I57" s="127"/>
      <c r="J57" s="129"/>
      <c r="K57" s="129"/>
      <c r="L57" s="130"/>
      <c r="M57" s="130"/>
      <c r="N57" s="130"/>
      <c r="O57" s="130"/>
      <c r="P57" s="129"/>
      <c r="Q57" s="127"/>
      <c r="R57" s="119"/>
      <c r="S57" s="137"/>
      <c r="T57" s="133"/>
      <c r="U57" s="134"/>
      <c r="V57" s="135"/>
      <c r="W57" s="135"/>
      <c r="X57" s="135"/>
      <c r="Y57" s="135"/>
      <c r="Z57" s="135"/>
      <c r="AA57" s="135"/>
      <c r="AB57" s="135"/>
      <c r="AC57" s="135"/>
    </row>
    <row r="58" ht="20.25" hidden="1" customHeight="1" outlineLevel="1">
      <c r="B58" s="125"/>
      <c r="C58" s="136"/>
      <c r="D58" s="127"/>
      <c r="E58" s="127"/>
      <c r="F58" s="127"/>
      <c r="G58" s="127"/>
      <c r="H58" s="127"/>
      <c r="I58" s="127"/>
      <c r="J58" s="129"/>
      <c r="K58" s="129"/>
      <c r="L58" s="130"/>
      <c r="M58" s="130"/>
      <c r="N58" s="130"/>
      <c r="O58" s="130"/>
      <c r="P58" s="129"/>
      <c r="Q58" s="127"/>
      <c r="R58" s="119"/>
      <c r="S58" s="132"/>
      <c r="T58" s="133"/>
      <c r="U58" s="134"/>
      <c r="V58" s="135"/>
      <c r="W58" s="135"/>
      <c r="X58" s="135"/>
      <c r="Y58" s="135"/>
      <c r="Z58" s="135"/>
      <c r="AA58" s="135"/>
      <c r="AB58" s="135"/>
      <c r="AC58" s="135"/>
    </row>
    <row r="59" ht="20.25" hidden="1" customHeight="1" outlineLevel="1">
      <c r="B59" s="125"/>
      <c r="C59" s="136"/>
      <c r="D59" s="127"/>
      <c r="E59" s="127"/>
      <c r="F59" s="127"/>
      <c r="G59" s="127"/>
      <c r="H59" s="127"/>
      <c r="I59" s="127"/>
      <c r="J59" s="129"/>
      <c r="K59" s="129"/>
      <c r="L59" s="130"/>
      <c r="M59" s="130"/>
      <c r="N59" s="130"/>
      <c r="O59" s="130"/>
      <c r="P59" s="129"/>
      <c r="Q59" s="127"/>
      <c r="R59" s="119"/>
      <c r="S59" s="132"/>
      <c r="T59" s="133"/>
      <c r="U59" s="134"/>
      <c r="V59" s="135"/>
      <c r="W59" s="135"/>
      <c r="X59" s="135"/>
      <c r="Y59" s="135"/>
      <c r="Z59" s="135"/>
      <c r="AA59" s="135"/>
      <c r="AB59" s="135"/>
      <c r="AC59" s="135"/>
    </row>
    <row r="60" ht="20.25" hidden="1" customHeight="1" outlineLevel="1">
      <c r="B60" s="125"/>
      <c r="C60" s="136"/>
      <c r="D60" s="127"/>
      <c r="E60" s="127"/>
      <c r="F60" s="127"/>
      <c r="G60" s="127"/>
      <c r="H60" s="127"/>
      <c r="I60" s="127"/>
      <c r="J60" s="129"/>
      <c r="K60" s="129"/>
      <c r="L60" s="130"/>
      <c r="M60" s="130"/>
      <c r="N60" s="130"/>
      <c r="O60" s="130"/>
      <c r="P60" s="129"/>
      <c r="Q60" s="127"/>
      <c r="R60" s="119"/>
      <c r="S60" s="137"/>
      <c r="T60" s="133"/>
      <c r="U60" s="134"/>
      <c r="V60" s="135"/>
      <c r="W60" s="135"/>
      <c r="X60" s="135"/>
      <c r="Y60" s="135"/>
      <c r="Z60" s="135"/>
      <c r="AA60" s="135"/>
      <c r="AB60" s="135"/>
      <c r="AC60" s="135"/>
    </row>
    <row r="61" ht="20.25" hidden="1" customHeight="1" outlineLevel="1">
      <c r="B61" s="125"/>
      <c r="C61" s="136"/>
      <c r="D61" s="127"/>
      <c r="E61" s="127"/>
      <c r="F61" s="127"/>
      <c r="G61" s="127"/>
      <c r="H61" s="127"/>
      <c r="I61" s="127"/>
      <c r="J61" s="129"/>
      <c r="K61" s="129"/>
      <c r="L61" s="130"/>
      <c r="M61" s="130"/>
      <c r="N61" s="130"/>
      <c r="O61" s="130"/>
      <c r="P61" s="129"/>
      <c r="Q61" s="127"/>
      <c r="R61" s="119"/>
      <c r="S61" s="132"/>
      <c r="T61" s="133"/>
      <c r="U61" s="134"/>
      <c r="V61" s="135"/>
      <c r="W61" s="135"/>
      <c r="X61" s="135"/>
      <c r="Y61" s="135"/>
      <c r="Z61" s="135"/>
      <c r="AA61" s="135"/>
      <c r="AB61" s="135"/>
      <c r="AC61" s="135"/>
    </row>
    <row r="62" ht="20.25" hidden="1" customHeight="1" outlineLevel="1">
      <c r="B62" s="125"/>
      <c r="C62" s="136"/>
      <c r="D62" s="127"/>
      <c r="E62" s="127"/>
      <c r="F62" s="127"/>
      <c r="G62" s="127"/>
      <c r="H62" s="127"/>
      <c r="I62" s="127"/>
      <c r="J62" s="129"/>
      <c r="K62" s="129"/>
      <c r="L62" s="130"/>
      <c r="M62" s="130"/>
      <c r="N62" s="130"/>
      <c r="O62" s="130"/>
      <c r="P62" s="129"/>
      <c r="Q62" s="127"/>
      <c r="R62" s="119"/>
      <c r="S62" s="137"/>
      <c r="T62" s="133"/>
      <c r="U62" s="134"/>
      <c r="V62" s="135"/>
      <c r="W62" s="135"/>
      <c r="X62" s="135"/>
      <c r="Y62" s="135"/>
      <c r="Z62" s="135"/>
      <c r="AA62" s="135"/>
      <c r="AB62" s="135"/>
      <c r="AC62" s="135"/>
    </row>
    <row r="63" ht="20.25" hidden="1" customHeight="1" outlineLevel="1">
      <c r="B63" s="125"/>
      <c r="C63" s="136"/>
      <c r="D63" s="127"/>
      <c r="E63" s="127"/>
      <c r="F63" s="127"/>
      <c r="G63" s="127"/>
      <c r="H63" s="127"/>
      <c r="I63" s="127"/>
      <c r="J63" s="129"/>
      <c r="K63" s="129"/>
      <c r="L63" s="130"/>
      <c r="M63" s="130"/>
      <c r="N63" s="130"/>
      <c r="O63" s="130"/>
      <c r="P63" s="129"/>
      <c r="Q63" s="127"/>
      <c r="R63" s="119"/>
      <c r="S63" s="137"/>
      <c r="T63" s="133"/>
      <c r="U63" s="134"/>
      <c r="V63" s="135"/>
      <c r="W63" s="135"/>
      <c r="X63" s="135"/>
      <c r="Y63" s="135"/>
      <c r="Z63" s="135"/>
      <c r="AA63" s="135"/>
      <c r="AB63" s="135"/>
      <c r="AC63" s="135"/>
    </row>
    <row r="64" ht="20.25" hidden="1" customHeight="1" outlineLevel="1">
      <c r="B64" s="125"/>
      <c r="C64" s="136"/>
      <c r="D64" s="127"/>
      <c r="E64" s="127"/>
      <c r="F64" s="127"/>
      <c r="G64" s="127"/>
      <c r="H64" s="127"/>
      <c r="I64" s="127"/>
      <c r="J64" s="129"/>
      <c r="K64" s="129"/>
      <c r="L64" s="130"/>
      <c r="M64" s="130"/>
      <c r="N64" s="130"/>
      <c r="O64" s="130"/>
      <c r="P64" s="129"/>
      <c r="Q64" s="127"/>
      <c r="R64" s="119"/>
      <c r="S64" s="132"/>
      <c r="T64" s="133"/>
      <c r="U64" s="134"/>
      <c r="V64" s="135"/>
      <c r="W64" s="135"/>
      <c r="X64" s="135"/>
      <c r="Y64" s="135"/>
      <c r="Z64" s="135"/>
      <c r="AA64" s="135"/>
      <c r="AB64" s="135"/>
      <c r="AC64" s="135"/>
    </row>
    <row r="65" ht="20.25" hidden="1" customHeight="1" outlineLevel="1">
      <c r="B65" s="125"/>
      <c r="C65" s="136"/>
      <c r="D65" s="127"/>
      <c r="E65" s="127"/>
      <c r="F65" s="127"/>
      <c r="G65" s="127"/>
      <c r="H65" s="127"/>
      <c r="I65" s="127"/>
      <c r="J65" s="129"/>
      <c r="K65" s="129"/>
      <c r="L65" s="130"/>
      <c r="M65" s="130"/>
      <c r="N65" s="130"/>
      <c r="O65" s="130"/>
      <c r="P65" s="129"/>
      <c r="Q65" s="127"/>
      <c r="R65" s="119"/>
      <c r="S65" s="132"/>
      <c r="T65" s="133"/>
      <c r="U65" s="134"/>
      <c r="V65" s="135"/>
      <c r="W65" s="135"/>
      <c r="X65" s="135"/>
      <c r="Y65" s="135"/>
      <c r="Z65" s="135"/>
      <c r="AA65" s="135"/>
      <c r="AB65" s="135"/>
      <c r="AC65" s="135"/>
    </row>
    <row r="66" ht="20.25" hidden="1" customHeight="1" outlineLevel="1">
      <c r="B66" s="125"/>
      <c r="C66" s="136"/>
      <c r="D66" s="127"/>
      <c r="E66" s="127"/>
      <c r="F66" s="127"/>
      <c r="G66" s="127"/>
      <c r="H66" s="127"/>
      <c r="I66" s="127"/>
      <c r="J66" s="129"/>
      <c r="K66" s="129"/>
      <c r="L66" s="130"/>
      <c r="M66" s="130"/>
      <c r="N66" s="130"/>
      <c r="O66" s="130"/>
      <c r="P66" s="129"/>
      <c r="Q66" s="127"/>
      <c r="R66" s="119"/>
      <c r="S66" s="137"/>
      <c r="T66" s="133"/>
      <c r="U66" s="134"/>
      <c r="V66" s="135"/>
      <c r="W66" s="135"/>
      <c r="X66" s="135"/>
      <c r="Y66" s="135"/>
      <c r="Z66" s="135"/>
      <c r="AA66" s="135"/>
      <c r="AB66" s="135"/>
      <c r="AC66" s="135"/>
    </row>
    <row r="67" ht="20.25" hidden="1" customHeight="1" outlineLevel="1">
      <c r="B67" s="125"/>
      <c r="C67" s="136"/>
      <c r="D67" s="127"/>
      <c r="E67" s="127"/>
      <c r="F67" s="127"/>
      <c r="G67" s="127"/>
      <c r="H67" s="127"/>
      <c r="I67" s="127"/>
      <c r="J67" s="129"/>
      <c r="K67" s="129"/>
      <c r="L67" s="130"/>
      <c r="M67" s="130"/>
      <c r="N67" s="130"/>
      <c r="O67" s="130"/>
      <c r="P67" s="129"/>
      <c r="Q67" s="127"/>
      <c r="R67" s="119"/>
      <c r="S67" s="137"/>
      <c r="T67" s="133"/>
      <c r="U67" s="134"/>
      <c r="V67" s="135"/>
      <c r="W67" s="135"/>
      <c r="X67" s="135"/>
      <c r="Y67" s="135"/>
      <c r="Z67" s="135"/>
      <c r="AA67" s="135"/>
      <c r="AB67" s="135"/>
      <c r="AC67" s="135"/>
    </row>
    <row r="68" ht="20.25" hidden="1" customHeight="1" outlineLevel="1">
      <c r="B68" s="125"/>
      <c r="C68" s="136"/>
      <c r="D68" s="127"/>
      <c r="E68" s="127"/>
      <c r="F68" s="127"/>
      <c r="G68" s="127"/>
      <c r="H68" s="127"/>
      <c r="I68" s="127"/>
      <c r="J68" s="129"/>
      <c r="K68" s="129"/>
      <c r="L68" s="130"/>
      <c r="M68" s="130"/>
      <c r="N68" s="130"/>
      <c r="O68" s="130"/>
      <c r="P68" s="129"/>
      <c r="Q68" s="127"/>
      <c r="R68" s="119"/>
      <c r="S68" s="132"/>
      <c r="T68" s="133"/>
      <c r="U68" s="134"/>
      <c r="V68" s="135"/>
      <c r="W68" s="135"/>
      <c r="X68" s="135"/>
      <c r="Y68" s="135"/>
      <c r="Z68" s="135"/>
      <c r="AA68" s="135"/>
      <c r="AB68" s="135"/>
      <c r="AC68" s="135"/>
    </row>
    <row r="69" ht="20.25" hidden="1" customHeight="1" outlineLevel="1">
      <c r="B69" s="125"/>
      <c r="C69" s="136"/>
      <c r="D69" s="127"/>
      <c r="E69" s="127"/>
      <c r="F69" s="127"/>
      <c r="G69" s="127"/>
      <c r="H69" s="127"/>
      <c r="I69" s="127"/>
      <c r="J69" s="129"/>
      <c r="K69" s="129"/>
      <c r="L69" s="130"/>
      <c r="M69" s="130"/>
      <c r="N69" s="130"/>
      <c r="O69" s="130"/>
      <c r="P69" s="129"/>
      <c r="Q69" s="127"/>
      <c r="R69" s="119"/>
      <c r="S69" s="132"/>
      <c r="T69" s="133"/>
      <c r="U69" s="134"/>
      <c r="V69" s="135"/>
      <c r="W69" s="135"/>
      <c r="X69" s="135"/>
      <c r="Y69" s="135"/>
      <c r="Z69" s="135"/>
      <c r="AA69" s="135"/>
      <c r="AB69" s="135"/>
      <c r="AC69" s="135"/>
    </row>
    <row r="70" ht="20.25" hidden="1" customHeight="1" outlineLevel="1">
      <c r="B70" s="125"/>
      <c r="C70" s="136"/>
      <c r="D70" s="127"/>
      <c r="E70" s="127"/>
      <c r="F70" s="127"/>
      <c r="G70" s="127"/>
      <c r="H70" s="127"/>
      <c r="I70" s="127"/>
      <c r="J70" s="129"/>
      <c r="K70" s="129"/>
      <c r="L70" s="130"/>
      <c r="M70" s="130"/>
      <c r="N70" s="130"/>
      <c r="O70" s="130"/>
      <c r="P70" s="129"/>
      <c r="Q70" s="127"/>
      <c r="R70" s="119"/>
      <c r="S70" s="137"/>
      <c r="T70" s="133"/>
      <c r="U70" s="134"/>
      <c r="V70" s="135"/>
      <c r="W70" s="135"/>
      <c r="X70" s="135"/>
      <c r="Y70" s="135"/>
      <c r="Z70" s="135"/>
      <c r="AA70" s="135"/>
      <c r="AB70" s="135"/>
      <c r="AC70" s="135"/>
    </row>
    <row r="71" ht="20.25" hidden="1" customHeight="1" outlineLevel="1">
      <c r="B71" s="125"/>
      <c r="C71" s="136"/>
      <c r="D71" s="127"/>
      <c r="E71" s="127"/>
      <c r="F71" s="127"/>
      <c r="G71" s="127"/>
      <c r="H71" s="127"/>
      <c r="I71" s="127"/>
      <c r="J71" s="129"/>
      <c r="K71" s="129"/>
      <c r="L71" s="130"/>
      <c r="M71" s="130"/>
      <c r="N71" s="130"/>
      <c r="O71" s="130"/>
      <c r="P71" s="129"/>
      <c r="Q71" s="127"/>
      <c r="R71" s="119"/>
      <c r="S71" s="132"/>
      <c r="T71" s="133"/>
      <c r="U71" s="134"/>
      <c r="V71" s="135"/>
      <c r="W71" s="135"/>
      <c r="X71" s="135"/>
      <c r="Y71" s="135"/>
      <c r="Z71" s="135"/>
      <c r="AA71" s="135"/>
      <c r="AB71" s="135"/>
      <c r="AC71" s="135"/>
    </row>
    <row r="72" ht="20.25" hidden="1" customHeight="1" outlineLevel="1">
      <c r="B72" s="125"/>
      <c r="C72" s="136"/>
      <c r="D72" s="127"/>
      <c r="E72" s="127"/>
      <c r="F72" s="127"/>
      <c r="G72" s="127"/>
      <c r="H72" s="127"/>
      <c r="I72" s="127"/>
      <c r="J72" s="129"/>
      <c r="K72" s="129"/>
      <c r="L72" s="130"/>
      <c r="M72" s="130"/>
      <c r="N72" s="130"/>
      <c r="O72" s="130"/>
      <c r="P72" s="129"/>
      <c r="Q72" s="127"/>
      <c r="R72" s="119"/>
      <c r="S72" s="137"/>
      <c r="T72" s="133"/>
      <c r="U72" s="134"/>
      <c r="V72" s="135"/>
      <c r="W72" s="135"/>
      <c r="X72" s="135"/>
      <c r="Y72" s="135"/>
      <c r="Z72" s="135"/>
      <c r="AA72" s="135"/>
      <c r="AB72" s="135"/>
      <c r="AC72" s="135"/>
    </row>
    <row r="73" ht="20.25" hidden="1" customHeight="1" outlineLevel="1">
      <c r="B73" s="125"/>
      <c r="C73" s="136"/>
      <c r="D73" s="127"/>
      <c r="E73" s="127"/>
      <c r="F73" s="127"/>
      <c r="G73" s="127"/>
      <c r="H73" s="127"/>
      <c r="I73" s="127"/>
      <c r="J73" s="129"/>
      <c r="K73" s="129"/>
      <c r="L73" s="130"/>
      <c r="M73" s="130"/>
      <c r="N73" s="130"/>
      <c r="O73" s="130"/>
      <c r="P73" s="129"/>
      <c r="Q73" s="127"/>
      <c r="R73" s="119"/>
      <c r="S73" s="137"/>
      <c r="T73" s="133"/>
      <c r="U73" s="134"/>
      <c r="V73" s="135"/>
      <c r="W73" s="135"/>
      <c r="X73" s="135"/>
      <c r="Y73" s="135"/>
      <c r="Z73" s="135"/>
      <c r="AA73" s="135"/>
      <c r="AB73" s="135"/>
      <c r="AC73" s="135"/>
    </row>
    <row r="74" ht="20.25" hidden="1" customHeight="1" outlineLevel="1">
      <c r="B74" s="125"/>
      <c r="C74" s="136"/>
      <c r="D74" s="127"/>
      <c r="E74" s="127"/>
      <c r="F74" s="127"/>
      <c r="G74" s="127"/>
      <c r="H74" s="127"/>
      <c r="I74" s="127"/>
      <c r="J74" s="129"/>
      <c r="K74" s="129"/>
      <c r="L74" s="130"/>
      <c r="M74" s="130"/>
      <c r="N74" s="130"/>
      <c r="O74" s="130"/>
      <c r="P74" s="129"/>
      <c r="Q74" s="127"/>
      <c r="R74" s="119"/>
      <c r="S74" s="132"/>
      <c r="T74" s="133"/>
      <c r="U74" s="134"/>
      <c r="V74" s="135"/>
      <c r="W74" s="135"/>
      <c r="X74" s="135"/>
      <c r="Y74" s="135"/>
      <c r="Z74" s="135"/>
      <c r="AA74" s="135"/>
      <c r="AB74" s="135"/>
      <c r="AC74" s="135"/>
    </row>
    <row r="75" ht="20.25" hidden="1" customHeight="1" outlineLevel="1">
      <c r="B75" s="125"/>
      <c r="C75" s="136"/>
      <c r="D75" s="127"/>
      <c r="E75" s="127"/>
      <c r="F75" s="127"/>
      <c r="G75" s="127"/>
      <c r="H75" s="127"/>
      <c r="I75" s="127"/>
      <c r="J75" s="129"/>
      <c r="K75" s="129"/>
      <c r="L75" s="130"/>
      <c r="M75" s="130"/>
      <c r="N75" s="130"/>
      <c r="O75" s="130"/>
      <c r="P75" s="129"/>
      <c r="Q75" s="127"/>
      <c r="R75" s="119"/>
      <c r="S75" s="132"/>
      <c r="T75" s="133"/>
      <c r="U75" s="134"/>
      <c r="V75" s="135"/>
      <c r="W75" s="135"/>
      <c r="X75" s="135"/>
      <c r="Y75" s="135"/>
      <c r="Z75" s="135"/>
      <c r="AA75" s="135"/>
      <c r="AB75" s="135"/>
      <c r="AC75" s="135"/>
    </row>
    <row r="76" ht="20.25" hidden="1" customHeight="1" outlineLevel="1">
      <c r="B76" s="125"/>
      <c r="C76" s="136"/>
      <c r="D76" s="127"/>
      <c r="E76" s="127"/>
      <c r="F76" s="127"/>
      <c r="G76" s="127"/>
      <c r="H76" s="127"/>
      <c r="I76" s="127"/>
      <c r="J76" s="129"/>
      <c r="K76" s="129"/>
      <c r="L76" s="130"/>
      <c r="M76" s="130"/>
      <c r="N76" s="130"/>
      <c r="O76" s="130"/>
      <c r="P76" s="129"/>
      <c r="Q76" s="127"/>
      <c r="R76" s="119"/>
      <c r="S76" s="132"/>
      <c r="T76" s="133"/>
      <c r="U76" s="134"/>
      <c r="V76" s="135"/>
      <c r="W76" s="135"/>
      <c r="X76" s="135"/>
      <c r="Y76" s="135"/>
      <c r="Z76" s="135"/>
      <c r="AA76" s="135"/>
      <c r="AB76" s="135"/>
      <c r="AC76" s="135"/>
    </row>
    <row r="77" ht="20.25" hidden="1" customHeight="1" outlineLevel="1">
      <c r="B77" s="125"/>
      <c r="C77" s="136"/>
      <c r="D77" s="127"/>
      <c r="E77" s="127"/>
      <c r="F77" s="127"/>
      <c r="G77" s="127"/>
      <c r="H77" s="127"/>
      <c r="I77" s="127"/>
      <c r="J77" s="129"/>
      <c r="K77" s="129"/>
      <c r="L77" s="130"/>
      <c r="M77" s="130"/>
      <c r="N77" s="130"/>
      <c r="O77" s="130"/>
      <c r="P77" s="129"/>
      <c r="Q77" s="127"/>
      <c r="R77" s="119"/>
      <c r="S77" s="132"/>
      <c r="T77" s="133"/>
      <c r="U77" s="134"/>
      <c r="V77" s="135"/>
      <c r="W77" s="135"/>
      <c r="X77" s="135"/>
      <c r="Y77" s="135"/>
      <c r="Z77" s="135"/>
      <c r="AA77" s="135"/>
      <c r="AB77" s="135"/>
      <c r="AC77" s="135"/>
    </row>
    <row r="78" ht="20.25" hidden="1" customHeight="1" outlineLevel="1">
      <c r="B78" s="125"/>
      <c r="C78" s="136"/>
      <c r="D78" s="127"/>
      <c r="E78" s="127"/>
      <c r="F78" s="127"/>
      <c r="G78" s="127"/>
      <c r="H78" s="127"/>
      <c r="I78" s="127"/>
      <c r="J78" s="129"/>
      <c r="K78" s="129"/>
      <c r="L78" s="130"/>
      <c r="M78" s="130"/>
      <c r="N78" s="130"/>
      <c r="O78" s="130"/>
      <c r="P78" s="129"/>
      <c r="Q78" s="127"/>
      <c r="R78" s="119"/>
      <c r="S78" s="132"/>
      <c r="T78" s="133"/>
      <c r="U78" s="134"/>
      <c r="V78" s="135"/>
      <c r="W78" s="135"/>
      <c r="X78" s="135"/>
      <c r="Y78" s="135"/>
      <c r="Z78" s="135"/>
      <c r="AA78" s="135"/>
      <c r="AB78" s="135"/>
      <c r="AC78" s="135"/>
    </row>
    <row r="79" ht="20.25" hidden="1" customHeight="1" outlineLevel="1">
      <c r="B79" s="125"/>
      <c r="C79" s="136"/>
      <c r="D79" s="127"/>
      <c r="E79" s="127"/>
      <c r="F79" s="127"/>
      <c r="G79" s="127"/>
      <c r="H79" s="127"/>
      <c r="I79" s="127"/>
      <c r="J79" s="129"/>
      <c r="K79" s="129"/>
      <c r="L79" s="130"/>
      <c r="M79" s="130"/>
      <c r="N79" s="130"/>
      <c r="O79" s="130"/>
      <c r="P79" s="129"/>
      <c r="Q79" s="127"/>
      <c r="R79" s="119"/>
      <c r="S79" s="137"/>
      <c r="T79" s="133"/>
      <c r="U79" s="134"/>
      <c r="V79" s="135"/>
      <c r="W79" s="135"/>
      <c r="X79" s="135"/>
      <c r="Y79" s="135"/>
      <c r="Z79" s="135"/>
      <c r="AA79" s="135"/>
      <c r="AB79" s="135"/>
      <c r="AC79" s="135"/>
    </row>
    <row r="80" ht="20.25" hidden="1" customHeight="1" outlineLevel="1">
      <c r="B80" s="125"/>
      <c r="C80" s="136"/>
      <c r="D80" s="127"/>
      <c r="E80" s="127"/>
      <c r="F80" s="127"/>
      <c r="G80" s="127"/>
      <c r="H80" s="127"/>
      <c r="I80" s="127"/>
      <c r="J80" s="129"/>
      <c r="K80" s="129"/>
      <c r="L80" s="130"/>
      <c r="M80" s="130"/>
      <c r="N80" s="130"/>
      <c r="O80" s="130"/>
      <c r="P80" s="129"/>
      <c r="Q80" s="127"/>
      <c r="R80" s="119"/>
      <c r="S80" s="137"/>
      <c r="T80" s="133"/>
      <c r="U80" s="134"/>
      <c r="V80" s="135"/>
      <c r="W80" s="135"/>
      <c r="X80" s="135"/>
      <c r="Y80" s="135"/>
      <c r="Z80" s="135"/>
      <c r="AA80" s="135"/>
      <c r="AB80" s="135"/>
      <c r="AC80" s="135"/>
    </row>
    <row r="81" ht="20.25" hidden="1" customHeight="1" outlineLevel="1">
      <c r="B81" s="125"/>
      <c r="C81" s="136"/>
      <c r="D81" s="127"/>
      <c r="E81" s="127"/>
      <c r="F81" s="127"/>
      <c r="G81" s="127"/>
      <c r="H81" s="127"/>
      <c r="I81" s="127"/>
      <c r="J81" s="129"/>
      <c r="K81" s="129"/>
      <c r="L81" s="130"/>
      <c r="M81" s="130"/>
      <c r="N81" s="130"/>
      <c r="O81" s="130"/>
      <c r="P81" s="129"/>
      <c r="Q81" s="127"/>
      <c r="R81" s="119"/>
      <c r="S81" s="132"/>
      <c r="T81" s="133"/>
      <c r="U81" s="134"/>
      <c r="V81" s="135"/>
      <c r="W81" s="135"/>
      <c r="X81" s="135"/>
      <c r="Y81" s="135"/>
      <c r="Z81" s="135"/>
      <c r="AA81" s="135"/>
      <c r="AB81" s="135"/>
      <c r="AC81" s="135"/>
    </row>
    <row r="82" ht="20.25" hidden="1" customHeight="1" outlineLevel="1">
      <c r="B82" s="125"/>
      <c r="C82" s="136"/>
      <c r="D82" s="127"/>
      <c r="E82" s="127"/>
      <c r="F82" s="127"/>
      <c r="G82" s="127"/>
      <c r="H82" s="127"/>
      <c r="I82" s="127"/>
      <c r="J82" s="129"/>
      <c r="K82" s="129"/>
      <c r="L82" s="130"/>
      <c r="M82" s="130"/>
      <c r="N82" s="130"/>
      <c r="O82" s="130"/>
      <c r="P82" s="129"/>
      <c r="Q82" s="127"/>
      <c r="R82" s="119"/>
      <c r="S82" s="132"/>
      <c r="T82" s="133"/>
      <c r="U82" s="134"/>
      <c r="V82" s="135"/>
      <c r="W82" s="135"/>
      <c r="X82" s="135"/>
      <c r="Y82" s="135"/>
      <c r="Z82" s="135"/>
      <c r="AA82" s="135"/>
      <c r="AB82" s="135"/>
      <c r="AC82" s="135"/>
    </row>
    <row r="83" ht="20.25" hidden="1" customHeight="1" outlineLevel="1">
      <c r="B83" s="125"/>
      <c r="C83" s="136"/>
      <c r="D83" s="127"/>
      <c r="E83" s="127"/>
      <c r="F83" s="127"/>
      <c r="G83" s="127"/>
      <c r="H83" s="127"/>
      <c r="I83" s="127"/>
      <c r="J83" s="129"/>
      <c r="K83" s="129"/>
      <c r="L83" s="130"/>
      <c r="M83" s="130"/>
      <c r="N83" s="130"/>
      <c r="O83" s="130"/>
      <c r="P83" s="129"/>
      <c r="Q83" s="127"/>
      <c r="R83" s="119"/>
      <c r="S83" s="137"/>
      <c r="T83" s="133"/>
      <c r="U83" s="134"/>
      <c r="V83" s="135"/>
      <c r="W83" s="135"/>
      <c r="X83" s="135"/>
      <c r="Y83" s="135"/>
      <c r="Z83" s="135"/>
      <c r="AA83" s="135"/>
      <c r="AB83" s="135"/>
      <c r="AC83" s="135"/>
    </row>
    <row r="84" ht="20.25" hidden="1" customHeight="1" outlineLevel="1">
      <c r="B84" s="125"/>
      <c r="C84" s="136"/>
      <c r="D84" s="127"/>
      <c r="E84" s="127"/>
      <c r="F84" s="127"/>
      <c r="G84" s="127"/>
      <c r="H84" s="127"/>
      <c r="I84" s="127"/>
      <c r="J84" s="129"/>
      <c r="K84" s="129"/>
      <c r="L84" s="130"/>
      <c r="M84" s="130"/>
      <c r="N84" s="130"/>
      <c r="O84" s="130"/>
      <c r="P84" s="129"/>
      <c r="Q84" s="127"/>
      <c r="R84" s="119"/>
      <c r="S84" s="132"/>
      <c r="T84" s="133"/>
      <c r="U84" s="134"/>
      <c r="V84" s="135"/>
      <c r="W84" s="135"/>
      <c r="X84" s="135"/>
      <c r="Y84" s="135"/>
      <c r="Z84" s="135"/>
      <c r="AA84" s="135"/>
      <c r="AB84" s="135"/>
      <c r="AC84" s="135"/>
    </row>
    <row r="85" ht="20.25" hidden="1" customHeight="1" outlineLevel="1">
      <c r="B85" s="125"/>
      <c r="C85" s="136"/>
      <c r="D85" s="127"/>
      <c r="E85" s="127"/>
      <c r="F85" s="127"/>
      <c r="G85" s="127"/>
      <c r="H85" s="127"/>
      <c r="I85" s="127"/>
      <c r="J85" s="129"/>
      <c r="K85" s="129"/>
      <c r="L85" s="130"/>
      <c r="M85" s="130"/>
      <c r="N85" s="130"/>
      <c r="O85" s="130"/>
      <c r="P85" s="129"/>
      <c r="Q85" s="127"/>
      <c r="R85" s="119"/>
      <c r="S85" s="132"/>
      <c r="T85" s="133"/>
      <c r="U85" s="134"/>
      <c r="V85" s="135"/>
      <c r="W85" s="135"/>
      <c r="X85" s="135"/>
      <c r="Y85" s="135"/>
      <c r="Z85" s="135"/>
      <c r="AA85" s="135"/>
      <c r="AB85" s="135"/>
      <c r="AC85" s="135"/>
    </row>
    <row r="86" ht="20.25" hidden="1" customHeight="1" outlineLevel="1">
      <c r="B86" s="125"/>
      <c r="C86" s="136"/>
      <c r="D86" s="127"/>
      <c r="E86" s="127"/>
      <c r="F86" s="127"/>
      <c r="G86" s="127"/>
      <c r="H86" s="127"/>
      <c r="I86" s="127"/>
      <c r="J86" s="129"/>
      <c r="K86" s="129"/>
      <c r="L86" s="130"/>
      <c r="M86" s="130"/>
      <c r="N86" s="130"/>
      <c r="O86" s="130"/>
      <c r="P86" s="129"/>
      <c r="Q86" s="127"/>
      <c r="R86" s="119"/>
      <c r="S86" s="137"/>
      <c r="T86" s="133"/>
      <c r="U86" s="134"/>
      <c r="V86" s="135"/>
      <c r="W86" s="135"/>
      <c r="X86" s="135"/>
      <c r="Y86" s="135"/>
      <c r="Z86" s="135"/>
      <c r="AA86" s="135"/>
      <c r="AB86" s="135"/>
      <c r="AC86" s="135"/>
    </row>
    <row r="87" ht="20.25" hidden="1" customHeight="1" outlineLevel="1">
      <c r="B87" s="125"/>
      <c r="C87" s="136"/>
      <c r="D87" s="127"/>
      <c r="E87" s="127"/>
      <c r="F87" s="127"/>
      <c r="G87" s="127"/>
      <c r="H87" s="127"/>
      <c r="I87" s="127"/>
      <c r="J87" s="129"/>
      <c r="K87" s="129"/>
      <c r="L87" s="130"/>
      <c r="M87" s="130"/>
      <c r="N87" s="130"/>
      <c r="O87" s="130"/>
      <c r="P87" s="129"/>
      <c r="Q87" s="127"/>
      <c r="R87" s="119"/>
      <c r="S87" s="137"/>
      <c r="T87" s="133"/>
      <c r="U87" s="134"/>
      <c r="V87" s="135"/>
      <c r="W87" s="135"/>
      <c r="X87" s="135"/>
      <c r="Y87" s="135"/>
      <c r="Z87" s="135"/>
      <c r="AA87" s="135"/>
      <c r="AB87" s="135"/>
      <c r="AC87" s="135"/>
    </row>
    <row r="88" ht="20.25" hidden="1" customHeight="1" outlineLevel="1">
      <c r="B88" s="125"/>
      <c r="C88" s="136"/>
      <c r="D88" s="127"/>
      <c r="E88" s="127"/>
      <c r="F88" s="127"/>
      <c r="G88" s="127"/>
      <c r="H88" s="127"/>
      <c r="I88" s="127"/>
      <c r="J88" s="129"/>
      <c r="K88" s="129"/>
      <c r="L88" s="130"/>
      <c r="M88" s="130"/>
      <c r="N88" s="130"/>
      <c r="O88" s="130"/>
      <c r="P88" s="129"/>
      <c r="Q88" s="127"/>
      <c r="R88" s="119"/>
      <c r="S88" s="137"/>
      <c r="T88" s="133"/>
      <c r="U88" s="134"/>
      <c r="V88" s="135"/>
      <c r="W88" s="135"/>
      <c r="X88" s="135"/>
      <c r="Y88" s="135"/>
      <c r="Z88" s="135"/>
      <c r="AA88" s="135"/>
      <c r="AB88" s="135"/>
      <c r="AC88" s="135"/>
    </row>
    <row r="89" ht="20.25" hidden="1" customHeight="1" outlineLevel="1">
      <c r="B89" s="125"/>
      <c r="C89" s="136"/>
      <c r="D89" s="127"/>
      <c r="E89" s="127"/>
      <c r="F89" s="127"/>
      <c r="G89" s="127"/>
      <c r="H89" s="127"/>
      <c r="I89" s="127"/>
      <c r="J89" s="129"/>
      <c r="K89" s="129"/>
      <c r="L89" s="130"/>
      <c r="M89" s="130"/>
      <c r="N89" s="130"/>
      <c r="O89" s="130"/>
      <c r="P89" s="129"/>
      <c r="Q89" s="127"/>
      <c r="R89" s="119"/>
      <c r="S89" s="132"/>
      <c r="T89" s="133"/>
      <c r="U89" s="134"/>
      <c r="V89" s="135"/>
      <c r="W89" s="135"/>
      <c r="X89" s="135"/>
      <c r="Y89" s="135"/>
      <c r="Z89" s="135"/>
      <c r="AA89" s="135"/>
      <c r="AB89" s="135"/>
      <c r="AC89" s="135"/>
    </row>
    <row r="90" ht="20.25" hidden="1" customHeight="1" outlineLevel="1">
      <c r="B90" s="125"/>
      <c r="C90" s="136"/>
      <c r="D90" s="127"/>
      <c r="E90" s="127"/>
      <c r="F90" s="127"/>
      <c r="G90" s="127"/>
      <c r="H90" s="127"/>
      <c r="I90" s="127"/>
      <c r="J90" s="129"/>
      <c r="K90" s="129"/>
      <c r="L90" s="130"/>
      <c r="M90" s="130"/>
      <c r="N90" s="130"/>
      <c r="O90" s="130"/>
      <c r="P90" s="129"/>
      <c r="Q90" s="127"/>
      <c r="R90" s="119"/>
      <c r="S90" s="137"/>
      <c r="T90" s="133"/>
      <c r="U90" s="134"/>
      <c r="V90" s="135"/>
      <c r="W90" s="135"/>
      <c r="X90" s="135"/>
      <c r="Y90" s="135"/>
      <c r="Z90" s="135"/>
      <c r="AA90" s="135"/>
      <c r="AB90" s="135"/>
      <c r="AC90" s="135"/>
    </row>
    <row r="91" ht="20.25" hidden="1" customHeight="1" outlineLevel="1">
      <c r="B91" s="125"/>
      <c r="C91" s="136"/>
      <c r="D91" s="127"/>
      <c r="E91" s="127"/>
      <c r="F91" s="127"/>
      <c r="G91" s="127"/>
      <c r="H91" s="127"/>
      <c r="I91" s="127"/>
      <c r="J91" s="129"/>
      <c r="K91" s="129"/>
      <c r="L91" s="130"/>
      <c r="M91" s="130"/>
      <c r="N91" s="130"/>
      <c r="O91" s="130"/>
      <c r="P91" s="129"/>
      <c r="Q91" s="127"/>
      <c r="R91" s="119"/>
      <c r="S91" s="132"/>
      <c r="T91" s="133"/>
      <c r="U91" s="134"/>
      <c r="V91" s="135"/>
      <c r="W91" s="135"/>
      <c r="X91" s="135"/>
      <c r="Y91" s="135"/>
      <c r="Z91" s="135"/>
      <c r="AA91" s="135"/>
      <c r="AB91" s="135"/>
      <c r="AC91" s="135"/>
    </row>
    <row r="92" ht="20.25" hidden="1" customHeight="1" outlineLevel="1">
      <c r="B92" s="125"/>
      <c r="C92" s="136"/>
      <c r="D92" s="127"/>
      <c r="E92" s="127"/>
      <c r="F92" s="127"/>
      <c r="G92" s="127"/>
      <c r="H92" s="127"/>
      <c r="I92" s="127"/>
      <c r="J92" s="129"/>
      <c r="K92" s="129"/>
      <c r="L92" s="130"/>
      <c r="M92" s="130"/>
      <c r="N92" s="130"/>
      <c r="O92" s="130"/>
      <c r="P92" s="129"/>
      <c r="Q92" s="127"/>
      <c r="R92" s="119"/>
      <c r="S92" s="132"/>
      <c r="T92" s="133"/>
      <c r="U92" s="134"/>
      <c r="V92" s="135"/>
      <c r="W92" s="135"/>
      <c r="X92" s="135"/>
      <c r="Y92" s="135"/>
      <c r="Z92" s="135"/>
      <c r="AA92" s="135"/>
      <c r="AB92" s="135"/>
      <c r="AC92" s="135"/>
    </row>
    <row r="93" ht="20.25" hidden="1" customHeight="1" outlineLevel="1">
      <c r="B93" s="125"/>
      <c r="C93" s="136"/>
      <c r="D93" s="127"/>
      <c r="E93" s="127"/>
      <c r="F93" s="127"/>
      <c r="G93" s="127"/>
      <c r="H93" s="127"/>
      <c r="I93" s="127"/>
      <c r="J93" s="129"/>
      <c r="K93" s="129"/>
      <c r="L93" s="130"/>
      <c r="M93" s="130"/>
      <c r="N93" s="130"/>
      <c r="O93" s="130"/>
      <c r="P93" s="129"/>
      <c r="Q93" s="127"/>
      <c r="R93" s="119"/>
      <c r="S93" s="132"/>
      <c r="T93" s="133"/>
      <c r="U93" s="134"/>
      <c r="V93" s="135"/>
      <c r="W93" s="135"/>
      <c r="X93" s="135"/>
      <c r="Y93" s="135"/>
      <c r="Z93" s="135"/>
      <c r="AA93" s="135"/>
      <c r="AB93" s="135"/>
      <c r="AC93" s="135"/>
    </row>
    <row r="94" ht="20.25" hidden="1" customHeight="1" outlineLevel="1">
      <c r="B94" s="125"/>
      <c r="C94" s="136"/>
      <c r="D94" s="127"/>
      <c r="E94" s="127"/>
      <c r="F94" s="127"/>
      <c r="G94" s="127"/>
      <c r="H94" s="127"/>
      <c r="I94" s="127"/>
      <c r="J94" s="129"/>
      <c r="K94" s="129"/>
      <c r="L94" s="130"/>
      <c r="M94" s="130"/>
      <c r="N94" s="130"/>
      <c r="O94" s="130"/>
      <c r="P94" s="129"/>
      <c r="Q94" s="127"/>
      <c r="R94" s="119"/>
      <c r="S94" s="137"/>
      <c r="T94" s="133"/>
      <c r="U94" s="134"/>
      <c r="V94" s="135"/>
      <c r="W94" s="135"/>
      <c r="X94" s="135"/>
      <c r="Y94" s="135"/>
      <c r="Z94" s="135"/>
      <c r="AA94" s="135"/>
      <c r="AB94" s="135"/>
      <c r="AC94" s="135"/>
    </row>
    <row r="95" ht="20.25" hidden="1" customHeight="1" outlineLevel="1">
      <c r="B95" s="125"/>
      <c r="C95" s="136"/>
      <c r="D95" s="127"/>
      <c r="E95" s="127"/>
      <c r="F95" s="127"/>
      <c r="G95" s="127"/>
      <c r="H95" s="127"/>
      <c r="I95" s="127"/>
      <c r="J95" s="129"/>
      <c r="K95" s="129"/>
      <c r="L95" s="130"/>
      <c r="M95" s="130"/>
      <c r="N95" s="130"/>
      <c r="O95" s="130"/>
      <c r="P95" s="129"/>
      <c r="Q95" s="127"/>
      <c r="R95" s="119"/>
      <c r="S95" s="137"/>
      <c r="T95" s="133"/>
      <c r="U95" s="134"/>
      <c r="V95" s="135"/>
      <c r="W95" s="135"/>
      <c r="X95" s="135"/>
      <c r="Y95" s="135"/>
      <c r="Z95" s="135"/>
      <c r="AA95" s="135"/>
      <c r="AB95" s="135"/>
      <c r="AC95" s="135"/>
    </row>
    <row r="96" ht="20.25" hidden="1" customHeight="1" outlineLevel="1">
      <c r="B96" s="125"/>
      <c r="C96" s="136"/>
      <c r="D96" s="127"/>
      <c r="E96" s="127"/>
      <c r="F96" s="127"/>
      <c r="G96" s="127"/>
      <c r="H96" s="127"/>
      <c r="I96" s="127"/>
      <c r="J96" s="129"/>
      <c r="K96" s="129"/>
      <c r="L96" s="130"/>
      <c r="M96" s="130"/>
      <c r="N96" s="130"/>
      <c r="O96" s="130"/>
      <c r="P96" s="129"/>
      <c r="Q96" s="127"/>
      <c r="R96" s="119"/>
      <c r="S96" s="137"/>
      <c r="T96" s="133"/>
      <c r="U96" s="134"/>
      <c r="V96" s="135"/>
      <c r="W96" s="135"/>
      <c r="X96" s="135"/>
      <c r="Y96" s="135"/>
      <c r="Z96" s="135"/>
      <c r="AA96" s="135"/>
      <c r="AB96" s="135"/>
      <c r="AC96" s="135"/>
    </row>
    <row r="97" ht="20.25" hidden="1" customHeight="1" outlineLevel="1">
      <c r="B97" s="125"/>
      <c r="C97" s="136"/>
      <c r="D97" s="127"/>
      <c r="E97" s="127"/>
      <c r="F97" s="127"/>
      <c r="G97" s="127"/>
      <c r="H97" s="127"/>
      <c r="I97" s="127"/>
      <c r="J97" s="129"/>
      <c r="K97" s="129"/>
      <c r="L97" s="130"/>
      <c r="M97" s="130"/>
      <c r="N97" s="130"/>
      <c r="O97" s="130"/>
      <c r="P97" s="129"/>
      <c r="Q97" s="127"/>
      <c r="R97" s="119"/>
      <c r="S97" s="132"/>
      <c r="T97" s="133"/>
      <c r="U97" s="134"/>
      <c r="V97" s="135"/>
      <c r="W97" s="135"/>
      <c r="X97" s="135"/>
      <c r="Y97" s="135"/>
      <c r="Z97" s="135"/>
      <c r="AA97" s="135"/>
      <c r="AB97" s="135"/>
      <c r="AC97" s="135"/>
    </row>
    <row r="98" ht="20.25" hidden="1" customHeight="1" outlineLevel="1">
      <c r="B98" s="125"/>
      <c r="C98" s="136"/>
      <c r="D98" s="127"/>
      <c r="E98" s="127"/>
      <c r="F98" s="127"/>
      <c r="G98" s="127"/>
      <c r="H98" s="127"/>
      <c r="I98" s="127"/>
      <c r="J98" s="129"/>
      <c r="K98" s="129"/>
      <c r="L98" s="130"/>
      <c r="M98" s="130"/>
      <c r="N98" s="130"/>
      <c r="O98" s="130"/>
      <c r="P98" s="129"/>
      <c r="Q98" s="127"/>
      <c r="R98" s="119"/>
      <c r="S98" s="132"/>
      <c r="T98" s="133"/>
      <c r="U98" s="134"/>
      <c r="V98" s="135"/>
      <c r="W98" s="135"/>
      <c r="X98" s="135"/>
      <c r="Y98" s="135"/>
      <c r="Z98" s="135"/>
      <c r="AA98" s="135"/>
      <c r="AB98" s="135"/>
      <c r="AC98" s="135"/>
    </row>
    <row r="99" ht="20.25" hidden="1" customHeight="1" outlineLevel="1">
      <c r="A99" s="46"/>
      <c r="B99" s="125"/>
      <c r="C99" s="136"/>
      <c r="D99" s="127"/>
      <c r="E99" s="127"/>
      <c r="F99" s="127"/>
      <c r="G99" s="127"/>
      <c r="H99" s="127"/>
      <c r="I99" s="127"/>
      <c r="J99" s="129"/>
      <c r="K99" s="129"/>
      <c r="L99" s="130"/>
      <c r="M99" s="130"/>
      <c r="N99" s="130"/>
      <c r="O99" s="130"/>
      <c r="P99" s="129"/>
      <c r="Q99" s="127"/>
      <c r="R99" s="119"/>
      <c r="S99" s="137"/>
      <c r="T99" s="133"/>
      <c r="U99" s="134"/>
      <c r="V99" s="135"/>
      <c r="W99" s="135"/>
      <c r="X99" s="135"/>
      <c r="Y99" s="135"/>
      <c r="Z99" s="135"/>
      <c r="AA99" s="135"/>
      <c r="AB99" s="135"/>
      <c r="AC99" s="135"/>
    </row>
    <row r="100" ht="20.25" hidden="1" customHeight="1" collapsed="1">
      <c r="A100" s="139" t="s">
        <v>85</v>
      </c>
      <c r="B100" s="140" t="s">
        <v>84</v>
      </c>
      <c r="C100" s="131"/>
      <c r="D100" s="131"/>
      <c r="E100" s="131"/>
      <c r="F100" s="131"/>
      <c r="G100" s="131"/>
      <c r="H100" s="131"/>
      <c r="I100" s="140"/>
      <c r="J100" s="117">
        <f>SUMIF(B101:B196,"ESEGUITO", J101:J1378)</f>
        <v>0</v>
      </c>
      <c r="K100" s="129"/>
      <c r="L100" s="130"/>
      <c r="M100" s="130"/>
      <c r="N100" s="130"/>
      <c r="O100" s="130"/>
      <c r="P100" s="129"/>
      <c r="Q100" s="127"/>
      <c r="R100" s="127"/>
      <c r="S100" s="132"/>
      <c r="T100" s="133"/>
      <c r="U100" s="134"/>
      <c r="V100" s="135"/>
      <c r="W100" s="135"/>
      <c r="X100" s="135"/>
      <c r="Y100" s="135"/>
      <c r="Z100" s="135"/>
      <c r="AA100" s="135"/>
      <c r="AB100" s="135"/>
      <c r="AC100" s="135"/>
    </row>
    <row r="101" ht="20.25" hidden="1" customHeight="1" outlineLevel="1">
      <c r="A101" s="141"/>
      <c r="B101" s="125"/>
      <c r="C101" s="130"/>
      <c r="D101" s="127"/>
      <c r="E101" s="127"/>
      <c r="F101" s="127"/>
      <c r="G101" s="127"/>
      <c r="H101" s="127"/>
      <c r="I101" s="127"/>
      <c r="J101" s="129"/>
      <c r="K101" s="129"/>
      <c r="L101" s="130"/>
      <c r="M101" s="131"/>
      <c r="N101" s="131"/>
      <c r="O101" s="131"/>
      <c r="P101" s="129"/>
      <c r="Q101" s="127"/>
      <c r="R101" s="119"/>
      <c r="S101" s="137"/>
      <c r="T101" s="133"/>
      <c r="U101" s="134"/>
      <c r="V101" s="135"/>
      <c r="W101" s="135"/>
      <c r="X101" s="135"/>
      <c r="Y101" s="135"/>
      <c r="Z101" s="135"/>
      <c r="AA101" s="135"/>
      <c r="AB101" s="135"/>
      <c r="AC101" s="135"/>
    </row>
    <row r="102" ht="20.25" hidden="1" customHeight="1" outlineLevel="1">
      <c r="B102" s="125"/>
      <c r="C102" s="130"/>
      <c r="D102" s="127"/>
      <c r="E102" s="127"/>
      <c r="F102" s="127"/>
      <c r="G102" s="127"/>
      <c r="H102" s="127"/>
      <c r="I102" s="127"/>
      <c r="J102" s="129"/>
      <c r="K102" s="129"/>
      <c r="L102" s="130"/>
      <c r="M102" s="131"/>
      <c r="N102" s="131"/>
      <c r="O102" s="131"/>
      <c r="P102" s="129"/>
      <c r="Q102" s="127"/>
      <c r="R102" s="119"/>
      <c r="S102" s="137"/>
      <c r="T102" s="133"/>
      <c r="U102" s="134"/>
      <c r="V102" s="135"/>
      <c r="W102" s="135"/>
      <c r="X102" s="135"/>
      <c r="Y102" s="135"/>
      <c r="Z102" s="135"/>
      <c r="AA102" s="135"/>
      <c r="AB102" s="135"/>
      <c r="AC102" s="135"/>
    </row>
    <row r="103" ht="20.25" hidden="1" customHeight="1" outlineLevel="1">
      <c r="B103" s="125"/>
      <c r="C103" s="130"/>
      <c r="D103" s="127"/>
      <c r="E103" s="127"/>
      <c r="F103" s="127"/>
      <c r="G103" s="127"/>
      <c r="H103" s="127"/>
      <c r="I103" s="127"/>
      <c r="J103" s="129"/>
      <c r="K103" s="129"/>
      <c r="L103" s="130"/>
      <c r="M103" s="131"/>
      <c r="N103" s="131"/>
      <c r="O103" s="131"/>
      <c r="P103" s="129"/>
      <c r="Q103" s="127"/>
      <c r="R103" s="119"/>
      <c r="S103" s="137"/>
      <c r="T103" s="133"/>
      <c r="U103" s="134"/>
      <c r="V103" s="135"/>
      <c r="W103" s="135"/>
      <c r="X103" s="135"/>
      <c r="Y103" s="135"/>
      <c r="Z103" s="135"/>
      <c r="AA103" s="135"/>
      <c r="AB103" s="135"/>
      <c r="AC103" s="135"/>
    </row>
    <row r="104" ht="20.25" hidden="1" customHeight="1" outlineLevel="1">
      <c r="B104" s="125"/>
      <c r="C104" s="130"/>
      <c r="D104" s="127"/>
      <c r="E104" s="127"/>
      <c r="F104" s="127"/>
      <c r="G104" s="127"/>
      <c r="H104" s="127"/>
      <c r="I104" s="127"/>
      <c r="J104" s="129"/>
      <c r="K104" s="129"/>
      <c r="L104" s="130"/>
      <c r="M104" s="131"/>
      <c r="N104" s="131"/>
      <c r="O104" s="131"/>
      <c r="P104" s="129"/>
      <c r="Q104" s="127"/>
      <c r="R104" s="119"/>
      <c r="S104" s="132"/>
      <c r="T104" s="133"/>
      <c r="U104" s="134"/>
      <c r="V104" s="135"/>
      <c r="W104" s="135"/>
      <c r="X104" s="135"/>
      <c r="Y104" s="135"/>
      <c r="Z104" s="135"/>
      <c r="AA104" s="135"/>
      <c r="AB104" s="135"/>
      <c r="AC104" s="135"/>
    </row>
    <row r="105" ht="20.25" hidden="1" customHeight="1" outlineLevel="1">
      <c r="B105" s="125"/>
      <c r="C105" s="130"/>
      <c r="D105" s="127"/>
      <c r="E105" s="127"/>
      <c r="F105" s="127"/>
      <c r="G105" s="127"/>
      <c r="H105" s="127"/>
      <c r="I105" s="127"/>
      <c r="J105" s="129"/>
      <c r="K105" s="129"/>
      <c r="L105" s="130"/>
      <c r="M105" s="131"/>
      <c r="N105" s="131"/>
      <c r="O105" s="131"/>
      <c r="P105" s="129"/>
      <c r="Q105" s="127"/>
      <c r="R105" s="119"/>
      <c r="S105" s="132"/>
      <c r="T105" s="133"/>
      <c r="U105" s="134"/>
      <c r="V105" s="135"/>
      <c r="W105" s="135"/>
      <c r="X105" s="135"/>
      <c r="Y105" s="135"/>
      <c r="Z105" s="135"/>
      <c r="AA105" s="135"/>
      <c r="AB105" s="135"/>
      <c r="AC105" s="135"/>
    </row>
    <row r="106" ht="20.25" hidden="1" customHeight="1" outlineLevel="1">
      <c r="B106" s="125"/>
      <c r="C106" s="130"/>
      <c r="D106" s="127"/>
      <c r="E106" s="127"/>
      <c r="F106" s="127"/>
      <c r="G106" s="127"/>
      <c r="H106" s="127"/>
      <c r="I106" s="127"/>
      <c r="J106" s="129"/>
      <c r="K106" s="129"/>
      <c r="L106" s="130"/>
      <c r="M106" s="131"/>
      <c r="N106" s="131"/>
      <c r="O106" s="131"/>
      <c r="P106" s="129"/>
      <c r="Q106" s="127"/>
      <c r="R106" s="119"/>
      <c r="S106" s="142"/>
      <c r="T106" s="133"/>
      <c r="U106" s="134"/>
      <c r="V106" s="135"/>
      <c r="W106" s="135"/>
      <c r="X106" s="135"/>
      <c r="Y106" s="135"/>
      <c r="Z106" s="135"/>
      <c r="AA106" s="135"/>
      <c r="AB106" s="135"/>
      <c r="AC106" s="135"/>
    </row>
    <row r="107" ht="20.25" hidden="1" customHeight="1" outlineLevel="1">
      <c r="B107" s="125"/>
      <c r="C107" s="130"/>
      <c r="D107" s="127"/>
      <c r="E107" s="127"/>
      <c r="F107" s="127"/>
      <c r="G107" s="127"/>
      <c r="H107" s="127"/>
      <c r="I107" s="127"/>
      <c r="J107" s="129"/>
      <c r="K107" s="129"/>
      <c r="L107" s="130"/>
      <c r="M107" s="131"/>
      <c r="N107" s="131"/>
      <c r="O107" s="131"/>
      <c r="P107" s="129"/>
      <c r="Q107" s="127"/>
      <c r="R107" s="119"/>
      <c r="S107" s="137"/>
      <c r="T107" s="133"/>
      <c r="U107" s="134"/>
      <c r="V107" s="135"/>
      <c r="W107" s="135"/>
      <c r="X107" s="135"/>
      <c r="Y107" s="135"/>
      <c r="Z107" s="135"/>
      <c r="AA107" s="135"/>
      <c r="AB107" s="135"/>
      <c r="AC107" s="135"/>
    </row>
    <row r="108" ht="20.25" hidden="1" customHeight="1" outlineLevel="1">
      <c r="B108" s="125"/>
      <c r="C108" s="130"/>
      <c r="D108" s="127"/>
      <c r="E108" s="127"/>
      <c r="F108" s="127"/>
      <c r="G108" s="127"/>
      <c r="H108" s="127"/>
      <c r="I108" s="127"/>
      <c r="J108" s="129"/>
      <c r="K108" s="129"/>
      <c r="L108" s="130"/>
      <c r="M108" s="131"/>
      <c r="N108" s="131"/>
      <c r="O108" s="131"/>
      <c r="P108" s="129"/>
      <c r="Q108" s="127"/>
      <c r="R108" s="119"/>
      <c r="S108" s="137"/>
      <c r="T108" s="133"/>
      <c r="U108" s="134"/>
      <c r="V108" s="135"/>
      <c r="W108" s="135"/>
      <c r="X108" s="135"/>
      <c r="Y108" s="135"/>
      <c r="Z108" s="135"/>
      <c r="AA108" s="135"/>
      <c r="AB108" s="135"/>
      <c r="AC108" s="135"/>
    </row>
    <row r="109" ht="20.25" hidden="1" customHeight="1" outlineLevel="1">
      <c r="B109" s="125"/>
      <c r="C109" s="130"/>
      <c r="D109" s="127"/>
      <c r="E109" s="127"/>
      <c r="F109" s="127"/>
      <c r="G109" s="127"/>
      <c r="H109" s="127"/>
      <c r="I109" s="127"/>
      <c r="J109" s="129"/>
      <c r="K109" s="129"/>
      <c r="L109" s="130"/>
      <c r="M109" s="131"/>
      <c r="N109" s="131"/>
      <c r="O109" s="131"/>
      <c r="P109" s="129"/>
      <c r="Q109" s="127"/>
      <c r="R109" s="119"/>
      <c r="S109" s="132"/>
      <c r="T109" s="133"/>
      <c r="U109" s="134"/>
      <c r="V109" s="135"/>
      <c r="W109" s="135"/>
      <c r="X109" s="135"/>
      <c r="Y109" s="135"/>
      <c r="Z109" s="135"/>
      <c r="AA109" s="135"/>
      <c r="AB109" s="135"/>
      <c r="AC109" s="135"/>
    </row>
    <row r="110" ht="20.25" hidden="1" customHeight="1" outlineLevel="1">
      <c r="B110" s="125"/>
      <c r="C110" s="130"/>
      <c r="D110" s="127"/>
      <c r="E110" s="127"/>
      <c r="F110" s="127"/>
      <c r="G110" s="127"/>
      <c r="H110" s="127"/>
      <c r="I110" s="127"/>
      <c r="J110" s="129"/>
      <c r="K110" s="129"/>
      <c r="L110" s="130"/>
      <c r="M110" s="131"/>
      <c r="N110" s="131"/>
      <c r="O110" s="131"/>
      <c r="P110" s="129"/>
      <c r="Q110" s="127"/>
      <c r="R110" s="119"/>
      <c r="S110" s="137"/>
      <c r="T110" s="133"/>
      <c r="U110" s="134"/>
      <c r="V110" s="135"/>
      <c r="W110" s="135"/>
      <c r="X110" s="135"/>
      <c r="Y110" s="135"/>
      <c r="Z110" s="135"/>
      <c r="AA110" s="135"/>
      <c r="AB110" s="135"/>
      <c r="AC110" s="135"/>
    </row>
    <row r="111" ht="20.25" hidden="1" customHeight="1" outlineLevel="1">
      <c r="B111" s="125"/>
      <c r="C111" s="130"/>
      <c r="D111" s="127"/>
      <c r="E111" s="127"/>
      <c r="F111" s="127"/>
      <c r="G111" s="127"/>
      <c r="H111" s="127"/>
      <c r="I111" s="127"/>
      <c r="J111" s="129"/>
      <c r="K111" s="129"/>
      <c r="L111" s="130"/>
      <c r="M111" s="131"/>
      <c r="N111" s="131"/>
      <c r="O111" s="131"/>
      <c r="P111" s="129"/>
      <c r="Q111" s="127"/>
      <c r="R111" s="119"/>
      <c r="S111" s="137"/>
      <c r="T111" s="133"/>
      <c r="U111" s="134"/>
      <c r="V111" s="135"/>
      <c r="W111" s="135"/>
      <c r="X111" s="135"/>
      <c r="Y111" s="135"/>
      <c r="Z111" s="135"/>
      <c r="AA111" s="135"/>
      <c r="AB111" s="135"/>
      <c r="AC111" s="135"/>
    </row>
    <row r="112" ht="20.25" hidden="1" customHeight="1" outlineLevel="1">
      <c r="B112" s="125"/>
      <c r="C112" s="130"/>
      <c r="D112" s="127"/>
      <c r="E112" s="127"/>
      <c r="F112" s="127"/>
      <c r="G112" s="127"/>
      <c r="H112" s="127"/>
      <c r="I112" s="127"/>
      <c r="J112" s="129"/>
      <c r="K112" s="129"/>
      <c r="L112" s="130"/>
      <c r="M112" s="131"/>
      <c r="N112" s="131"/>
      <c r="O112" s="131"/>
      <c r="P112" s="129"/>
      <c r="Q112" s="127"/>
      <c r="R112" s="119"/>
      <c r="S112" s="137"/>
      <c r="T112" s="133"/>
      <c r="U112" s="134"/>
      <c r="V112" s="135"/>
      <c r="W112" s="135"/>
      <c r="X112" s="135"/>
      <c r="Y112" s="135"/>
      <c r="Z112" s="135"/>
      <c r="AA112" s="135"/>
      <c r="AB112" s="135"/>
      <c r="AC112" s="135"/>
    </row>
    <row r="113" ht="20.25" hidden="1" customHeight="1" outlineLevel="1">
      <c r="B113" s="125"/>
      <c r="C113" s="130"/>
      <c r="D113" s="127"/>
      <c r="E113" s="127"/>
      <c r="F113" s="127"/>
      <c r="G113" s="127"/>
      <c r="H113" s="127"/>
      <c r="I113" s="127"/>
      <c r="J113" s="129"/>
      <c r="K113" s="129"/>
      <c r="L113" s="130"/>
      <c r="M113" s="131"/>
      <c r="N113" s="131"/>
      <c r="O113" s="131"/>
      <c r="P113" s="129"/>
      <c r="Q113" s="127"/>
      <c r="R113" s="119"/>
      <c r="S113" s="132"/>
      <c r="T113" s="133"/>
      <c r="U113" s="134"/>
      <c r="V113" s="135"/>
      <c r="W113" s="135"/>
      <c r="X113" s="135"/>
      <c r="Y113" s="135"/>
      <c r="Z113" s="135"/>
      <c r="AA113" s="135"/>
      <c r="AB113" s="135"/>
      <c r="AC113" s="135"/>
    </row>
    <row r="114" ht="20.25" hidden="1" customHeight="1" outlineLevel="1">
      <c r="B114" s="125"/>
      <c r="C114" s="130"/>
      <c r="D114" s="127"/>
      <c r="E114" s="127"/>
      <c r="F114" s="127"/>
      <c r="G114" s="127"/>
      <c r="H114" s="127"/>
      <c r="I114" s="127"/>
      <c r="J114" s="129"/>
      <c r="K114" s="129"/>
      <c r="L114" s="130"/>
      <c r="M114" s="131"/>
      <c r="N114" s="131"/>
      <c r="O114" s="131"/>
      <c r="P114" s="129"/>
      <c r="Q114" s="127"/>
      <c r="R114" s="119"/>
      <c r="S114" s="132"/>
      <c r="T114" s="133"/>
      <c r="U114" s="134"/>
      <c r="V114" s="135"/>
      <c r="W114" s="135"/>
      <c r="X114" s="135"/>
      <c r="Y114" s="135"/>
      <c r="Z114" s="135"/>
      <c r="AA114" s="135"/>
      <c r="AB114" s="135"/>
      <c r="AC114" s="135"/>
    </row>
    <row r="115" ht="20.25" hidden="1" customHeight="1" outlineLevel="1">
      <c r="B115" s="125"/>
      <c r="C115" s="130"/>
      <c r="D115" s="127"/>
      <c r="E115" s="127"/>
      <c r="F115" s="127"/>
      <c r="G115" s="127"/>
      <c r="H115" s="127"/>
      <c r="I115" s="127"/>
      <c r="J115" s="129"/>
      <c r="K115" s="129"/>
      <c r="L115" s="130"/>
      <c r="M115" s="130"/>
      <c r="N115" s="130"/>
      <c r="O115" s="130"/>
      <c r="P115" s="129"/>
      <c r="Q115" s="127"/>
      <c r="R115" s="119"/>
      <c r="S115" s="137"/>
      <c r="T115" s="133"/>
      <c r="U115" s="134"/>
      <c r="V115" s="135"/>
      <c r="W115" s="135"/>
      <c r="X115" s="135"/>
      <c r="Y115" s="135"/>
      <c r="Z115" s="135"/>
      <c r="AA115" s="135"/>
      <c r="AB115" s="135"/>
      <c r="AC115" s="135"/>
    </row>
    <row r="116" ht="20.25" hidden="1" customHeight="1" outlineLevel="1">
      <c r="B116" s="125"/>
      <c r="C116" s="130"/>
      <c r="D116" s="127"/>
      <c r="E116" s="127"/>
      <c r="F116" s="127"/>
      <c r="G116" s="127"/>
      <c r="H116" s="127"/>
      <c r="I116" s="127"/>
      <c r="J116" s="129"/>
      <c r="K116" s="129"/>
      <c r="L116" s="130"/>
      <c r="M116" s="130"/>
      <c r="N116" s="130"/>
      <c r="O116" s="130"/>
      <c r="P116" s="129"/>
      <c r="Q116" s="127"/>
      <c r="R116" s="119"/>
      <c r="S116" s="132"/>
      <c r="T116" s="133"/>
      <c r="U116" s="134"/>
      <c r="V116" s="135"/>
      <c r="W116" s="135"/>
      <c r="X116" s="135"/>
      <c r="Y116" s="135"/>
      <c r="Z116" s="135"/>
      <c r="AA116" s="135"/>
      <c r="AB116" s="135"/>
      <c r="AC116" s="135"/>
    </row>
    <row r="117" ht="20.25" hidden="1" customHeight="1" outlineLevel="1">
      <c r="B117" s="125"/>
      <c r="C117" s="130"/>
      <c r="D117" s="127"/>
      <c r="E117" s="127"/>
      <c r="F117" s="127"/>
      <c r="G117" s="127"/>
      <c r="H117" s="127"/>
      <c r="I117" s="127"/>
      <c r="J117" s="129"/>
      <c r="K117" s="129"/>
      <c r="L117" s="130"/>
      <c r="M117" s="130"/>
      <c r="N117" s="130"/>
      <c r="O117" s="130"/>
      <c r="P117" s="129"/>
      <c r="Q117" s="127"/>
      <c r="R117" s="119"/>
      <c r="S117" s="132"/>
      <c r="T117" s="133"/>
      <c r="U117" s="134"/>
      <c r="V117" s="135"/>
      <c r="W117" s="135"/>
      <c r="X117" s="135"/>
      <c r="Y117" s="135"/>
      <c r="Z117" s="135"/>
      <c r="AA117" s="135"/>
      <c r="AB117" s="135"/>
      <c r="AC117" s="135"/>
    </row>
    <row r="118" ht="20.25" hidden="1" customHeight="1" outlineLevel="1">
      <c r="B118" s="125"/>
      <c r="C118" s="130"/>
      <c r="D118" s="127"/>
      <c r="E118" s="127"/>
      <c r="F118" s="127"/>
      <c r="G118" s="127"/>
      <c r="H118" s="127"/>
      <c r="I118" s="127"/>
      <c r="J118" s="129"/>
      <c r="K118" s="129"/>
      <c r="L118" s="130"/>
      <c r="M118" s="130"/>
      <c r="N118" s="130"/>
      <c r="O118" s="130"/>
      <c r="P118" s="129"/>
      <c r="Q118" s="127"/>
      <c r="R118" s="119"/>
      <c r="S118" s="137"/>
      <c r="T118" s="133"/>
      <c r="U118" s="134"/>
      <c r="V118" s="135"/>
      <c r="W118" s="135"/>
      <c r="X118" s="135"/>
      <c r="Y118" s="135"/>
      <c r="Z118" s="135"/>
      <c r="AA118" s="135"/>
      <c r="AB118" s="135"/>
      <c r="AC118" s="135"/>
    </row>
    <row r="119" ht="20.25" hidden="1" customHeight="1" outlineLevel="1">
      <c r="B119" s="125"/>
      <c r="C119" s="130"/>
      <c r="D119" s="127"/>
      <c r="E119" s="127"/>
      <c r="F119" s="127"/>
      <c r="G119" s="127"/>
      <c r="H119" s="127"/>
      <c r="I119" s="127"/>
      <c r="J119" s="129"/>
      <c r="K119" s="129"/>
      <c r="L119" s="130"/>
      <c r="M119" s="130"/>
      <c r="N119" s="130"/>
      <c r="O119" s="130"/>
      <c r="P119" s="129"/>
      <c r="Q119" s="127"/>
      <c r="R119" s="119"/>
      <c r="S119" s="137"/>
      <c r="T119" s="133"/>
      <c r="U119" s="134"/>
      <c r="V119" s="135"/>
      <c r="W119" s="135"/>
      <c r="X119" s="135"/>
      <c r="Y119" s="135"/>
      <c r="Z119" s="135"/>
      <c r="AA119" s="135"/>
      <c r="AB119" s="135"/>
      <c r="AC119" s="135"/>
    </row>
    <row r="120" ht="20.25" hidden="1" customHeight="1" outlineLevel="1">
      <c r="B120" s="125"/>
      <c r="C120" s="130"/>
      <c r="D120" s="127"/>
      <c r="E120" s="127"/>
      <c r="F120" s="127"/>
      <c r="G120" s="127"/>
      <c r="H120" s="127"/>
      <c r="I120" s="127"/>
      <c r="J120" s="129"/>
      <c r="K120" s="129"/>
      <c r="L120" s="130"/>
      <c r="M120" s="130"/>
      <c r="N120" s="130"/>
      <c r="O120" s="130"/>
      <c r="P120" s="129"/>
      <c r="Q120" s="127"/>
      <c r="R120" s="119"/>
      <c r="S120" s="132"/>
      <c r="T120" s="133"/>
      <c r="U120" s="134"/>
      <c r="V120" s="135"/>
      <c r="W120" s="135"/>
      <c r="X120" s="135"/>
      <c r="Y120" s="135"/>
      <c r="Z120" s="135"/>
      <c r="AA120" s="135"/>
      <c r="AB120" s="135"/>
      <c r="AC120" s="135"/>
    </row>
    <row r="121" ht="20.25" hidden="1" customHeight="1" outlineLevel="1">
      <c r="B121" s="125"/>
      <c r="C121" s="130"/>
      <c r="D121" s="127"/>
      <c r="E121" s="127"/>
      <c r="F121" s="127"/>
      <c r="G121" s="127"/>
      <c r="H121" s="127"/>
      <c r="I121" s="127"/>
      <c r="J121" s="129"/>
      <c r="K121" s="129"/>
      <c r="L121" s="130"/>
      <c r="M121" s="130"/>
      <c r="N121" s="130"/>
      <c r="O121" s="130"/>
      <c r="P121" s="129"/>
      <c r="Q121" s="127"/>
      <c r="R121" s="119"/>
      <c r="S121" s="132"/>
      <c r="T121" s="133"/>
      <c r="U121" s="134"/>
      <c r="V121" s="135"/>
      <c r="W121" s="135"/>
      <c r="X121" s="135"/>
      <c r="Y121" s="135"/>
      <c r="Z121" s="135"/>
      <c r="AA121" s="135"/>
      <c r="AB121" s="135"/>
      <c r="AC121" s="135"/>
    </row>
    <row r="122" ht="20.25" hidden="1" customHeight="1" outlineLevel="1">
      <c r="B122" s="125"/>
      <c r="C122" s="130"/>
      <c r="D122" s="127"/>
      <c r="E122" s="127"/>
      <c r="F122" s="127"/>
      <c r="G122" s="127"/>
      <c r="H122" s="127"/>
      <c r="I122" s="127"/>
      <c r="J122" s="129"/>
      <c r="K122" s="129"/>
      <c r="L122" s="130"/>
      <c r="M122" s="130"/>
      <c r="N122" s="130"/>
      <c r="O122" s="130"/>
      <c r="P122" s="129"/>
      <c r="Q122" s="127"/>
      <c r="R122" s="119"/>
      <c r="S122" s="132"/>
      <c r="T122" s="133"/>
      <c r="U122" s="134"/>
      <c r="V122" s="135"/>
      <c r="W122" s="135"/>
      <c r="X122" s="135"/>
      <c r="Y122" s="135"/>
      <c r="Z122" s="135"/>
      <c r="AA122" s="135"/>
      <c r="AB122" s="135"/>
      <c r="AC122" s="135"/>
    </row>
    <row r="123" ht="20.25" hidden="1" customHeight="1" outlineLevel="1">
      <c r="B123" s="125"/>
      <c r="C123" s="130"/>
      <c r="D123" s="127"/>
      <c r="E123" s="127"/>
      <c r="F123" s="127"/>
      <c r="G123" s="127"/>
      <c r="H123" s="127"/>
      <c r="I123" s="127"/>
      <c r="J123" s="129"/>
      <c r="K123" s="129"/>
      <c r="L123" s="130"/>
      <c r="M123" s="130"/>
      <c r="N123" s="130"/>
      <c r="O123" s="130"/>
      <c r="P123" s="129"/>
      <c r="Q123" s="127"/>
      <c r="R123" s="119"/>
      <c r="S123" s="137"/>
      <c r="T123" s="133"/>
      <c r="U123" s="134"/>
      <c r="V123" s="135"/>
      <c r="W123" s="135"/>
      <c r="X123" s="135"/>
      <c r="Y123" s="135"/>
      <c r="Z123" s="135"/>
      <c r="AA123" s="135"/>
      <c r="AB123" s="135"/>
      <c r="AC123" s="135"/>
    </row>
    <row r="124" ht="20.25" hidden="1" customHeight="1" outlineLevel="1">
      <c r="B124" s="125"/>
      <c r="C124" s="130"/>
      <c r="D124" s="127"/>
      <c r="E124" s="127"/>
      <c r="F124" s="127"/>
      <c r="G124" s="127"/>
      <c r="H124" s="127"/>
      <c r="I124" s="127"/>
      <c r="J124" s="129"/>
      <c r="K124" s="129"/>
      <c r="L124" s="130"/>
      <c r="M124" s="130"/>
      <c r="N124" s="130"/>
      <c r="O124" s="130"/>
      <c r="P124" s="129"/>
      <c r="Q124" s="127"/>
      <c r="R124" s="119"/>
      <c r="S124" s="132"/>
      <c r="T124" s="133"/>
      <c r="U124" s="134"/>
      <c r="V124" s="135"/>
      <c r="W124" s="135"/>
      <c r="X124" s="135"/>
      <c r="Y124" s="135"/>
      <c r="Z124" s="135"/>
      <c r="AA124" s="135"/>
      <c r="AB124" s="135"/>
      <c r="AC124" s="135"/>
    </row>
    <row r="125" ht="20.25" hidden="1" customHeight="1" outlineLevel="1">
      <c r="B125" s="125"/>
      <c r="C125" s="130"/>
      <c r="D125" s="127"/>
      <c r="E125" s="127"/>
      <c r="F125" s="127"/>
      <c r="G125" s="127"/>
      <c r="H125" s="127"/>
      <c r="I125" s="127"/>
      <c r="J125" s="129"/>
      <c r="K125" s="129"/>
      <c r="L125" s="130"/>
      <c r="M125" s="130"/>
      <c r="N125" s="130"/>
      <c r="O125" s="130"/>
      <c r="P125" s="129"/>
      <c r="Q125" s="127"/>
      <c r="R125" s="119"/>
      <c r="S125" s="137"/>
      <c r="T125" s="133"/>
      <c r="U125" s="134"/>
      <c r="V125" s="135"/>
      <c r="W125" s="135"/>
      <c r="X125" s="135"/>
      <c r="Y125" s="135"/>
      <c r="Z125" s="135"/>
      <c r="AA125" s="135"/>
      <c r="AB125" s="135"/>
      <c r="AC125" s="135"/>
    </row>
    <row r="126" ht="20.25" hidden="1" customHeight="1" outlineLevel="1">
      <c r="B126" s="125"/>
      <c r="C126" s="130"/>
      <c r="D126" s="127"/>
      <c r="E126" s="127"/>
      <c r="F126" s="127"/>
      <c r="G126" s="127"/>
      <c r="H126" s="127"/>
      <c r="I126" s="127"/>
      <c r="J126" s="129"/>
      <c r="K126" s="129"/>
      <c r="L126" s="130"/>
      <c r="M126" s="130"/>
      <c r="N126" s="130"/>
      <c r="O126" s="130"/>
      <c r="P126" s="129"/>
      <c r="Q126" s="127"/>
      <c r="R126" s="119"/>
      <c r="S126" s="132"/>
      <c r="T126" s="133"/>
      <c r="U126" s="134"/>
      <c r="V126" s="135"/>
      <c r="W126" s="135"/>
      <c r="X126" s="135"/>
      <c r="Y126" s="135"/>
      <c r="Z126" s="135"/>
      <c r="AA126" s="135"/>
      <c r="AB126" s="135"/>
      <c r="AC126" s="135"/>
    </row>
    <row r="127" ht="20.25" hidden="1" customHeight="1" outlineLevel="1">
      <c r="B127" s="125"/>
      <c r="C127" s="130"/>
      <c r="D127" s="127"/>
      <c r="E127" s="127"/>
      <c r="F127" s="127"/>
      <c r="G127" s="127"/>
      <c r="H127" s="127"/>
      <c r="I127" s="127"/>
      <c r="J127" s="129"/>
      <c r="K127" s="129"/>
      <c r="L127" s="130"/>
      <c r="M127" s="130"/>
      <c r="N127" s="130"/>
      <c r="O127" s="130"/>
      <c r="P127" s="129"/>
      <c r="Q127" s="127"/>
      <c r="R127" s="119"/>
      <c r="S127" s="137"/>
      <c r="T127" s="133"/>
      <c r="U127" s="134"/>
      <c r="V127" s="135"/>
      <c r="W127" s="135"/>
      <c r="X127" s="135"/>
      <c r="Y127" s="135"/>
      <c r="Z127" s="135"/>
      <c r="AA127" s="135"/>
      <c r="AB127" s="135"/>
      <c r="AC127" s="135"/>
    </row>
    <row r="128" ht="20.25" hidden="1" customHeight="1" outlineLevel="1">
      <c r="B128" s="125"/>
      <c r="C128" s="130"/>
      <c r="D128" s="127"/>
      <c r="E128" s="127"/>
      <c r="F128" s="127"/>
      <c r="G128" s="127"/>
      <c r="H128" s="127"/>
      <c r="I128" s="127"/>
      <c r="J128" s="129"/>
      <c r="K128" s="129"/>
      <c r="L128" s="130"/>
      <c r="M128" s="130"/>
      <c r="N128" s="130"/>
      <c r="O128" s="130"/>
      <c r="P128" s="129"/>
      <c r="Q128" s="127"/>
      <c r="R128" s="119"/>
      <c r="S128" s="132"/>
      <c r="T128" s="133"/>
      <c r="U128" s="134"/>
      <c r="V128" s="135"/>
      <c r="W128" s="135"/>
      <c r="X128" s="135"/>
      <c r="Y128" s="135"/>
      <c r="Z128" s="135"/>
      <c r="AA128" s="135"/>
      <c r="AB128" s="135"/>
      <c r="AC128" s="135"/>
    </row>
    <row r="129" ht="20.25" hidden="1" customHeight="1" outlineLevel="1">
      <c r="B129" s="125"/>
      <c r="C129" s="130"/>
      <c r="D129" s="127"/>
      <c r="E129" s="127"/>
      <c r="F129" s="127"/>
      <c r="G129" s="127"/>
      <c r="H129" s="127"/>
      <c r="I129" s="127"/>
      <c r="J129" s="129"/>
      <c r="K129" s="129"/>
      <c r="L129" s="130"/>
      <c r="M129" s="130"/>
      <c r="N129" s="130"/>
      <c r="O129" s="130"/>
      <c r="P129" s="129"/>
      <c r="Q129" s="127"/>
      <c r="R129" s="119"/>
      <c r="S129" s="132"/>
      <c r="T129" s="133"/>
      <c r="U129" s="134"/>
      <c r="V129" s="135"/>
      <c r="W129" s="135"/>
      <c r="X129" s="135"/>
      <c r="Y129" s="135"/>
      <c r="Z129" s="135"/>
      <c r="AA129" s="135"/>
      <c r="AB129" s="135"/>
      <c r="AC129" s="135"/>
    </row>
    <row r="130" ht="20.25" hidden="1" customHeight="1" outlineLevel="1">
      <c r="B130" s="125"/>
      <c r="C130" s="130"/>
      <c r="D130" s="127"/>
      <c r="E130" s="127"/>
      <c r="F130" s="127"/>
      <c r="G130" s="127"/>
      <c r="H130" s="127"/>
      <c r="I130" s="127"/>
      <c r="J130" s="129"/>
      <c r="K130" s="129"/>
      <c r="L130" s="130"/>
      <c r="M130" s="130"/>
      <c r="N130" s="130"/>
      <c r="O130" s="130"/>
      <c r="P130" s="129"/>
      <c r="Q130" s="127"/>
      <c r="R130" s="119"/>
      <c r="S130" s="137"/>
      <c r="T130" s="133"/>
      <c r="U130" s="134"/>
      <c r="V130" s="135"/>
      <c r="W130" s="135"/>
      <c r="X130" s="135"/>
      <c r="Y130" s="135"/>
      <c r="Z130" s="135"/>
      <c r="AA130" s="135"/>
      <c r="AB130" s="135"/>
      <c r="AC130" s="135"/>
    </row>
    <row r="131" ht="20.25" hidden="1" customHeight="1" outlineLevel="1">
      <c r="B131" s="125"/>
      <c r="C131" s="130"/>
      <c r="D131" s="127"/>
      <c r="E131" s="127"/>
      <c r="F131" s="127"/>
      <c r="G131" s="127"/>
      <c r="H131" s="127"/>
      <c r="I131" s="127"/>
      <c r="J131" s="129"/>
      <c r="K131" s="129"/>
      <c r="L131" s="130"/>
      <c r="M131" s="130"/>
      <c r="N131" s="130"/>
      <c r="O131" s="130"/>
      <c r="P131" s="129"/>
      <c r="Q131" s="127"/>
      <c r="R131" s="119"/>
      <c r="S131" s="137"/>
      <c r="T131" s="133"/>
      <c r="U131" s="134"/>
      <c r="V131" s="135"/>
      <c r="W131" s="135"/>
      <c r="X131" s="135"/>
      <c r="Y131" s="135"/>
      <c r="Z131" s="135"/>
      <c r="AA131" s="135"/>
      <c r="AB131" s="135"/>
      <c r="AC131" s="135"/>
    </row>
    <row r="132" ht="20.25" hidden="1" customHeight="1" outlineLevel="1">
      <c r="B132" s="125"/>
      <c r="C132" s="130"/>
      <c r="D132" s="127"/>
      <c r="E132" s="127"/>
      <c r="F132" s="127"/>
      <c r="G132" s="127"/>
      <c r="H132" s="127"/>
      <c r="I132" s="127"/>
      <c r="J132" s="129"/>
      <c r="K132" s="129"/>
      <c r="L132" s="130"/>
      <c r="M132" s="130"/>
      <c r="N132" s="130"/>
      <c r="O132" s="130"/>
      <c r="P132" s="129"/>
      <c r="Q132" s="127"/>
      <c r="R132" s="119"/>
      <c r="S132" s="137"/>
      <c r="T132" s="133"/>
      <c r="U132" s="134"/>
      <c r="V132" s="135"/>
      <c r="W132" s="135"/>
      <c r="X132" s="135"/>
      <c r="Y132" s="135"/>
      <c r="Z132" s="135"/>
      <c r="AA132" s="135"/>
      <c r="AB132" s="135"/>
      <c r="AC132" s="135"/>
    </row>
    <row r="133" ht="20.25" hidden="1" customHeight="1" outlineLevel="1">
      <c r="B133" s="125"/>
      <c r="C133" s="130"/>
      <c r="D133" s="127"/>
      <c r="E133" s="127"/>
      <c r="F133" s="127"/>
      <c r="G133" s="127"/>
      <c r="H133" s="127"/>
      <c r="I133" s="127"/>
      <c r="J133" s="129"/>
      <c r="K133" s="129"/>
      <c r="L133" s="130"/>
      <c r="M133" s="130"/>
      <c r="N133" s="130"/>
      <c r="O133" s="130"/>
      <c r="P133" s="129"/>
      <c r="Q133" s="127"/>
      <c r="R133" s="119"/>
      <c r="S133" s="132"/>
      <c r="T133" s="133"/>
      <c r="U133" s="134"/>
      <c r="V133" s="135"/>
      <c r="W133" s="135"/>
      <c r="X133" s="135"/>
      <c r="Y133" s="135"/>
      <c r="Z133" s="135"/>
      <c r="AA133" s="135"/>
      <c r="AB133" s="135"/>
      <c r="AC133" s="135"/>
    </row>
    <row r="134" ht="20.25" hidden="1" customHeight="1" outlineLevel="1">
      <c r="B134" s="125"/>
      <c r="C134" s="130"/>
      <c r="D134" s="127"/>
      <c r="E134" s="127"/>
      <c r="F134" s="127"/>
      <c r="G134" s="127"/>
      <c r="H134" s="127"/>
      <c r="I134" s="127"/>
      <c r="J134" s="129"/>
      <c r="K134" s="129"/>
      <c r="L134" s="130"/>
      <c r="M134" s="130"/>
      <c r="N134" s="130"/>
      <c r="O134" s="130"/>
      <c r="P134" s="129"/>
      <c r="Q134" s="127"/>
      <c r="R134" s="119"/>
      <c r="S134" s="132"/>
      <c r="T134" s="133"/>
      <c r="U134" s="134"/>
      <c r="V134" s="135"/>
      <c r="W134" s="135"/>
      <c r="X134" s="135"/>
      <c r="Y134" s="135"/>
      <c r="Z134" s="135"/>
      <c r="AA134" s="135"/>
      <c r="AB134" s="135"/>
      <c r="AC134" s="135"/>
    </row>
    <row r="135" ht="20.25" hidden="1" customHeight="1" outlineLevel="1">
      <c r="B135" s="125"/>
      <c r="C135" s="130"/>
      <c r="D135" s="127"/>
      <c r="E135" s="127"/>
      <c r="F135" s="127"/>
      <c r="G135" s="127"/>
      <c r="H135" s="127"/>
      <c r="I135" s="127"/>
      <c r="J135" s="129"/>
      <c r="K135" s="129"/>
      <c r="L135" s="130"/>
      <c r="M135" s="130"/>
      <c r="N135" s="130"/>
      <c r="O135" s="130"/>
      <c r="P135" s="129"/>
      <c r="Q135" s="127"/>
      <c r="R135" s="119"/>
      <c r="S135" s="132"/>
      <c r="T135" s="133"/>
      <c r="U135" s="134"/>
      <c r="V135" s="135"/>
      <c r="W135" s="135"/>
      <c r="X135" s="135"/>
      <c r="Y135" s="135"/>
      <c r="Z135" s="135"/>
      <c r="AA135" s="135"/>
      <c r="AB135" s="135"/>
      <c r="AC135" s="135"/>
    </row>
    <row r="136" ht="20.25" hidden="1" customHeight="1" outlineLevel="1">
      <c r="B136" s="125"/>
      <c r="C136" s="130"/>
      <c r="D136" s="127"/>
      <c r="E136" s="127"/>
      <c r="F136" s="127"/>
      <c r="G136" s="127"/>
      <c r="H136" s="127"/>
      <c r="I136" s="127"/>
      <c r="J136" s="129"/>
      <c r="K136" s="129"/>
      <c r="L136" s="130"/>
      <c r="M136" s="130"/>
      <c r="N136" s="130"/>
      <c r="O136" s="130"/>
      <c r="P136" s="129"/>
      <c r="Q136" s="127"/>
      <c r="R136" s="119"/>
      <c r="S136" s="132"/>
      <c r="T136" s="133"/>
      <c r="U136" s="134"/>
      <c r="V136" s="135"/>
      <c r="W136" s="135"/>
      <c r="X136" s="135"/>
      <c r="Y136" s="135"/>
      <c r="Z136" s="135"/>
      <c r="AA136" s="135"/>
      <c r="AB136" s="135"/>
      <c r="AC136" s="135"/>
    </row>
    <row r="137" ht="20.25" hidden="1" customHeight="1" outlineLevel="1">
      <c r="B137" s="125"/>
      <c r="C137" s="130"/>
      <c r="D137" s="127"/>
      <c r="E137" s="127"/>
      <c r="F137" s="127"/>
      <c r="G137" s="127"/>
      <c r="H137" s="127"/>
      <c r="I137" s="127"/>
      <c r="J137" s="129"/>
      <c r="K137" s="129"/>
      <c r="L137" s="130"/>
      <c r="M137" s="130"/>
      <c r="N137" s="130"/>
      <c r="O137" s="130"/>
      <c r="P137" s="129"/>
      <c r="Q137" s="127"/>
      <c r="R137" s="119"/>
      <c r="S137" s="137"/>
      <c r="T137" s="133"/>
      <c r="U137" s="134"/>
      <c r="V137" s="135"/>
      <c r="W137" s="135"/>
      <c r="X137" s="135"/>
      <c r="Y137" s="135"/>
      <c r="Z137" s="135"/>
      <c r="AA137" s="135"/>
      <c r="AB137" s="135"/>
      <c r="AC137" s="135"/>
    </row>
    <row r="138" ht="20.25" hidden="1" customHeight="1" outlineLevel="1">
      <c r="B138" s="125"/>
      <c r="C138" s="130"/>
      <c r="D138" s="127"/>
      <c r="E138" s="127"/>
      <c r="F138" s="127"/>
      <c r="G138" s="127"/>
      <c r="H138" s="127"/>
      <c r="I138" s="127"/>
      <c r="J138" s="129"/>
      <c r="K138" s="129"/>
      <c r="L138" s="130"/>
      <c r="M138" s="130"/>
      <c r="N138" s="130"/>
      <c r="O138" s="130"/>
      <c r="P138" s="129"/>
      <c r="Q138" s="127"/>
      <c r="R138" s="119"/>
      <c r="S138" s="137"/>
      <c r="T138" s="133"/>
      <c r="U138" s="134"/>
      <c r="V138" s="135"/>
      <c r="W138" s="135"/>
      <c r="X138" s="135"/>
      <c r="Y138" s="135"/>
      <c r="Z138" s="135"/>
      <c r="AA138" s="135"/>
      <c r="AB138" s="135"/>
      <c r="AC138" s="135"/>
    </row>
    <row r="139" ht="20.25" hidden="1" customHeight="1" outlineLevel="1">
      <c r="B139" s="125"/>
      <c r="C139" s="130"/>
      <c r="D139" s="127"/>
      <c r="E139" s="127"/>
      <c r="F139" s="127"/>
      <c r="G139" s="127"/>
      <c r="H139" s="127"/>
      <c r="I139" s="127"/>
      <c r="J139" s="129"/>
      <c r="K139" s="129"/>
      <c r="L139" s="130"/>
      <c r="M139" s="130"/>
      <c r="N139" s="130"/>
      <c r="O139" s="130"/>
      <c r="P139" s="129"/>
      <c r="Q139" s="127"/>
      <c r="R139" s="119"/>
      <c r="S139" s="137"/>
      <c r="T139" s="133"/>
      <c r="U139" s="134"/>
      <c r="V139" s="135"/>
      <c r="W139" s="135"/>
      <c r="X139" s="135"/>
      <c r="Y139" s="135"/>
      <c r="Z139" s="135"/>
      <c r="AA139" s="135"/>
      <c r="AB139" s="135"/>
      <c r="AC139" s="135"/>
    </row>
    <row r="140" ht="20.25" hidden="1" customHeight="1" outlineLevel="1">
      <c r="B140" s="125"/>
      <c r="C140" s="130"/>
      <c r="D140" s="127"/>
      <c r="E140" s="127"/>
      <c r="F140" s="127"/>
      <c r="G140" s="127"/>
      <c r="H140" s="127"/>
      <c r="I140" s="127"/>
      <c r="J140" s="129"/>
      <c r="K140" s="129"/>
      <c r="L140" s="130"/>
      <c r="M140" s="130"/>
      <c r="N140" s="130"/>
      <c r="O140" s="130"/>
      <c r="P140" s="129"/>
      <c r="Q140" s="127"/>
      <c r="R140" s="119"/>
      <c r="S140" s="132"/>
      <c r="T140" s="133"/>
      <c r="U140" s="134"/>
      <c r="V140" s="135"/>
      <c r="W140" s="135"/>
      <c r="X140" s="135"/>
      <c r="Y140" s="135"/>
      <c r="Z140" s="135"/>
      <c r="AA140" s="135"/>
      <c r="AB140" s="135"/>
      <c r="AC140" s="135"/>
    </row>
    <row r="141" ht="20.25" hidden="1" customHeight="1" outlineLevel="1">
      <c r="B141" s="125"/>
      <c r="C141" s="130"/>
      <c r="D141" s="127"/>
      <c r="E141" s="127"/>
      <c r="F141" s="127"/>
      <c r="G141" s="127"/>
      <c r="H141" s="127"/>
      <c r="I141" s="127"/>
      <c r="J141" s="129"/>
      <c r="K141" s="129"/>
      <c r="L141" s="130"/>
      <c r="M141" s="130"/>
      <c r="N141" s="130"/>
      <c r="O141" s="130"/>
      <c r="P141" s="129"/>
      <c r="Q141" s="127"/>
      <c r="R141" s="119"/>
      <c r="S141" s="137"/>
      <c r="T141" s="133"/>
      <c r="U141" s="134"/>
      <c r="V141" s="135"/>
      <c r="W141" s="135"/>
      <c r="X141" s="135"/>
      <c r="Y141" s="135"/>
      <c r="Z141" s="135"/>
      <c r="AA141" s="135"/>
      <c r="AB141" s="135"/>
      <c r="AC141" s="135"/>
    </row>
    <row r="142" ht="20.25" hidden="1" customHeight="1" outlineLevel="1">
      <c r="B142" s="125"/>
      <c r="C142" s="130"/>
      <c r="D142" s="127"/>
      <c r="E142" s="127"/>
      <c r="F142" s="127"/>
      <c r="G142" s="127"/>
      <c r="H142" s="127"/>
      <c r="I142" s="127"/>
      <c r="J142" s="129"/>
      <c r="K142" s="129"/>
      <c r="L142" s="130"/>
      <c r="M142" s="130"/>
      <c r="N142" s="130"/>
      <c r="O142" s="130"/>
      <c r="P142" s="129"/>
      <c r="Q142" s="127"/>
      <c r="R142" s="119"/>
      <c r="S142" s="137"/>
      <c r="T142" s="133"/>
      <c r="U142" s="134"/>
      <c r="V142" s="135"/>
      <c r="W142" s="135"/>
      <c r="X142" s="135"/>
      <c r="Y142" s="135"/>
      <c r="Z142" s="135"/>
      <c r="AA142" s="135"/>
      <c r="AB142" s="135"/>
      <c r="AC142" s="135"/>
    </row>
    <row r="143" ht="20.25" hidden="1" customHeight="1" outlineLevel="1">
      <c r="B143" s="125"/>
      <c r="C143" s="130"/>
      <c r="D143" s="127"/>
      <c r="E143" s="127"/>
      <c r="F143" s="127"/>
      <c r="G143" s="127"/>
      <c r="H143" s="127"/>
      <c r="I143" s="127"/>
      <c r="J143" s="129"/>
      <c r="K143" s="129"/>
      <c r="L143" s="130"/>
      <c r="M143" s="130"/>
      <c r="N143" s="130"/>
      <c r="O143" s="130"/>
      <c r="P143" s="129"/>
      <c r="Q143" s="127"/>
      <c r="R143" s="119"/>
      <c r="S143" s="137"/>
      <c r="T143" s="133"/>
      <c r="U143" s="134"/>
      <c r="V143" s="135"/>
      <c r="W143" s="135"/>
      <c r="X143" s="135"/>
      <c r="Y143" s="135"/>
      <c r="Z143" s="135"/>
      <c r="AA143" s="135"/>
      <c r="AB143" s="135"/>
      <c r="AC143" s="135"/>
    </row>
    <row r="144" ht="20.25" hidden="1" customHeight="1" outlineLevel="1">
      <c r="B144" s="125"/>
      <c r="C144" s="130"/>
      <c r="D144" s="127"/>
      <c r="E144" s="127"/>
      <c r="F144" s="127"/>
      <c r="G144" s="127"/>
      <c r="H144" s="127"/>
      <c r="I144" s="127"/>
      <c r="J144" s="129"/>
      <c r="K144" s="129"/>
      <c r="L144" s="130"/>
      <c r="M144" s="130"/>
      <c r="N144" s="130"/>
      <c r="O144" s="130"/>
      <c r="P144" s="129"/>
      <c r="Q144" s="127"/>
      <c r="R144" s="119"/>
      <c r="S144" s="137"/>
      <c r="T144" s="133"/>
      <c r="U144" s="134"/>
      <c r="V144" s="135"/>
      <c r="W144" s="135"/>
      <c r="X144" s="135"/>
      <c r="Y144" s="135"/>
      <c r="Z144" s="135"/>
      <c r="AA144" s="135"/>
      <c r="AB144" s="135"/>
      <c r="AC144" s="135"/>
    </row>
    <row r="145" ht="20.25" hidden="1" customHeight="1" outlineLevel="1">
      <c r="B145" s="125"/>
      <c r="C145" s="130"/>
      <c r="D145" s="127"/>
      <c r="E145" s="127"/>
      <c r="F145" s="127"/>
      <c r="G145" s="127"/>
      <c r="H145" s="127"/>
      <c r="I145" s="127"/>
      <c r="J145" s="129"/>
      <c r="K145" s="129"/>
      <c r="L145" s="130"/>
      <c r="M145" s="130"/>
      <c r="N145" s="130"/>
      <c r="O145" s="130"/>
      <c r="P145" s="129"/>
      <c r="Q145" s="127"/>
      <c r="R145" s="119"/>
      <c r="S145" s="137"/>
      <c r="T145" s="133"/>
      <c r="U145" s="134"/>
      <c r="V145" s="135"/>
      <c r="W145" s="135"/>
      <c r="X145" s="135"/>
      <c r="Y145" s="135"/>
      <c r="Z145" s="135"/>
      <c r="AA145" s="135"/>
      <c r="AB145" s="135"/>
      <c r="AC145" s="135"/>
    </row>
    <row r="146" ht="20.25" hidden="1" customHeight="1" outlineLevel="1">
      <c r="B146" s="125"/>
      <c r="C146" s="130"/>
      <c r="D146" s="127"/>
      <c r="E146" s="127"/>
      <c r="F146" s="127"/>
      <c r="G146" s="127"/>
      <c r="H146" s="127"/>
      <c r="I146" s="127"/>
      <c r="J146" s="129"/>
      <c r="K146" s="129"/>
      <c r="L146" s="130"/>
      <c r="M146" s="130"/>
      <c r="N146" s="130"/>
      <c r="O146" s="130"/>
      <c r="P146" s="129"/>
      <c r="Q146" s="127"/>
      <c r="R146" s="119"/>
      <c r="S146" s="137"/>
      <c r="T146" s="133"/>
      <c r="U146" s="134"/>
      <c r="V146" s="135"/>
      <c r="W146" s="135"/>
      <c r="X146" s="135"/>
      <c r="Y146" s="135"/>
      <c r="Z146" s="135"/>
      <c r="AA146" s="135"/>
      <c r="AB146" s="135"/>
      <c r="AC146" s="135"/>
    </row>
    <row r="147" ht="20.25" hidden="1" customHeight="1" outlineLevel="1">
      <c r="B147" s="125"/>
      <c r="C147" s="130"/>
      <c r="D147" s="127"/>
      <c r="E147" s="127"/>
      <c r="F147" s="127"/>
      <c r="G147" s="127"/>
      <c r="H147" s="127"/>
      <c r="I147" s="127"/>
      <c r="J147" s="129"/>
      <c r="K147" s="129"/>
      <c r="L147" s="130"/>
      <c r="M147" s="130"/>
      <c r="N147" s="130"/>
      <c r="O147" s="130"/>
      <c r="P147" s="129"/>
      <c r="Q147" s="127"/>
      <c r="R147" s="119"/>
      <c r="S147" s="137"/>
      <c r="T147" s="133"/>
      <c r="U147" s="134"/>
      <c r="V147" s="135"/>
      <c r="W147" s="135"/>
      <c r="X147" s="135"/>
      <c r="Y147" s="135"/>
      <c r="Z147" s="135"/>
      <c r="AA147" s="135"/>
      <c r="AB147" s="135"/>
      <c r="AC147" s="135"/>
    </row>
    <row r="148" ht="20.25" hidden="1" customHeight="1" outlineLevel="1">
      <c r="B148" s="125"/>
      <c r="C148" s="130"/>
      <c r="D148" s="127"/>
      <c r="E148" s="127"/>
      <c r="F148" s="127"/>
      <c r="G148" s="127"/>
      <c r="H148" s="127"/>
      <c r="I148" s="127"/>
      <c r="J148" s="129"/>
      <c r="K148" s="129"/>
      <c r="L148" s="130"/>
      <c r="M148" s="130"/>
      <c r="N148" s="130"/>
      <c r="O148" s="130"/>
      <c r="P148" s="129"/>
      <c r="Q148" s="127"/>
      <c r="R148" s="119"/>
      <c r="S148" s="132"/>
      <c r="T148" s="133"/>
      <c r="U148" s="134"/>
      <c r="V148" s="135"/>
      <c r="W148" s="135"/>
      <c r="X148" s="135"/>
      <c r="Y148" s="135"/>
      <c r="Z148" s="135"/>
      <c r="AA148" s="135"/>
      <c r="AB148" s="135"/>
      <c r="AC148" s="135"/>
    </row>
    <row r="149" ht="20.25" hidden="1" customHeight="1" outlineLevel="1">
      <c r="B149" s="125"/>
      <c r="C149" s="130"/>
      <c r="D149" s="127"/>
      <c r="E149" s="127"/>
      <c r="F149" s="127"/>
      <c r="G149" s="127"/>
      <c r="H149" s="127"/>
      <c r="I149" s="127"/>
      <c r="J149" s="129"/>
      <c r="K149" s="129"/>
      <c r="L149" s="130"/>
      <c r="M149" s="130"/>
      <c r="N149" s="130"/>
      <c r="O149" s="130"/>
      <c r="P149" s="129"/>
      <c r="Q149" s="127"/>
      <c r="R149" s="119"/>
      <c r="S149" s="137"/>
      <c r="T149" s="133"/>
      <c r="U149" s="134"/>
      <c r="V149" s="135"/>
      <c r="W149" s="135"/>
      <c r="X149" s="135"/>
      <c r="Y149" s="135"/>
      <c r="Z149" s="135"/>
      <c r="AA149" s="135"/>
      <c r="AB149" s="135"/>
      <c r="AC149" s="135"/>
    </row>
    <row r="150" ht="20.25" hidden="1" customHeight="1" outlineLevel="1">
      <c r="B150" s="125"/>
      <c r="C150" s="130"/>
      <c r="D150" s="127"/>
      <c r="E150" s="127"/>
      <c r="F150" s="127"/>
      <c r="G150" s="127"/>
      <c r="H150" s="127"/>
      <c r="I150" s="127"/>
      <c r="J150" s="129"/>
      <c r="K150" s="129"/>
      <c r="L150" s="130"/>
      <c r="M150" s="130"/>
      <c r="N150" s="130"/>
      <c r="O150" s="130"/>
      <c r="P150" s="129"/>
      <c r="Q150" s="127"/>
      <c r="R150" s="119"/>
      <c r="S150" s="132"/>
      <c r="T150" s="133"/>
      <c r="U150" s="134"/>
      <c r="V150" s="135"/>
      <c r="W150" s="135"/>
      <c r="X150" s="135"/>
      <c r="Y150" s="135"/>
      <c r="Z150" s="135"/>
      <c r="AA150" s="135"/>
      <c r="AB150" s="135"/>
      <c r="AC150" s="135"/>
    </row>
    <row r="151" ht="20.25" hidden="1" customHeight="1" outlineLevel="1">
      <c r="B151" s="125"/>
      <c r="C151" s="130"/>
      <c r="D151" s="127"/>
      <c r="E151" s="127"/>
      <c r="F151" s="127"/>
      <c r="G151" s="127"/>
      <c r="H151" s="127"/>
      <c r="I151" s="127"/>
      <c r="J151" s="129"/>
      <c r="K151" s="129"/>
      <c r="L151" s="130"/>
      <c r="M151" s="130"/>
      <c r="N151" s="130"/>
      <c r="O151" s="130"/>
      <c r="P151" s="129"/>
      <c r="Q151" s="127"/>
      <c r="R151" s="119"/>
      <c r="S151" s="137"/>
      <c r="T151" s="133"/>
      <c r="U151" s="134"/>
      <c r="V151" s="135"/>
      <c r="W151" s="135"/>
      <c r="X151" s="135"/>
      <c r="Y151" s="135"/>
      <c r="Z151" s="135"/>
      <c r="AA151" s="135"/>
      <c r="AB151" s="135"/>
      <c r="AC151" s="135"/>
    </row>
    <row r="152" ht="20.25" hidden="1" customHeight="1" outlineLevel="1">
      <c r="B152" s="125"/>
      <c r="C152" s="130"/>
      <c r="D152" s="127"/>
      <c r="E152" s="127"/>
      <c r="F152" s="127"/>
      <c r="G152" s="127"/>
      <c r="H152" s="127"/>
      <c r="I152" s="127"/>
      <c r="J152" s="129"/>
      <c r="K152" s="129"/>
      <c r="L152" s="130"/>
      <c r="M152" s="130"/>
      <c r="N152" s="130"/>
      <c r="O152" s="130"/>
      <c r="P152" s="129"/>
      <c r="Q152" s="127"/>
      <c r="R152" s="119"/>
      <c r="S152" s="132"/>
      <c r="T152" s="133"/>
      <c r="U152" s="134"/>
      <c r="V152" s="135"/>
      <c r="W152" s="135"/>
      <c r="X152" s="135"/>
      <c r="Y152" s="135"/>
      <c r="Z152" s="135"/>
      <c r="AA152" s="135"/>
      <c r="AB152" s="135"/>
      <c r="AC152" s="135"/>
    </row>
    <row r="153" ht="20.25" hidden="1" customHeight="1" outlineLevel="1">
      <c r="B153" s="125"/>
      <c r="C153" s="130"/>
      <c r="D153" s="127"/>
      <c r="E153" s="127"/>
      <c r="F153" s="127"/>
      <c r="G153" s="127"/>
      <c r="H153" s="127"/>
      <c r="I153" s="127"/>
      <c r="J153" s="129"/>
      <c r="K153" s="129"/>
      <c r="L153" s="130"/>
      <c r="M153" s="130"/>
      <c r="N153" s="130"/>
      <c r="O153" s="130"/>
      <c r="P153" s="129"/>
      <c r="Q153" s="127"/>
      <c r="R153" s="119"/>
      <c r="S153" s="132"/>
      <c r="T153" s="133"/>
      <c r="U153" s="134"/>
      <c r="V153" s="135"/>
      <c r="W153" s="135"/>
      <c r="X153" s="135"/>
      <c r="Y153" s="135"/>
      <c r="Z153" s="135"/>
      <c r="AA153" s="135"/>
      <c r="AB153" s="135"/>
      <c r="AC153" s="135"/>
    </row>
    <row r="154" ht="20.25" hidden="1" customHeight="1" outlineLevel="1">
      <c r="B154" s="125"/>
      <c r="C154" s="130"/>
      <c r="D154" s="127"/>
      <c r="E154" s="127"/>
      <c r="F154" s="127"/>
      <c r="G154" s="127"/>
      <c r="H154" s="127"/>
      <c r="I154" s="127"/>
      <c r="J154" s="129"/>
      <c r="K154" s="129"/>
      <c r="L154" s="130"/>
      <c r="M154" s="130"/>
      <c r="N154" s="130"/>
      <c r="O154" s="130"/>
      <c r="P154" s="129"/>
      <c r="Q154" s="127"/>
      <c r="R154" s="119"/>
      <c r="S154" s="137"/>
      <c r="T154" s="133"/>
      <c r="U154" s="134"/>
      <c r="V154" s="135"/>
      <c r="W154" s="135"/>
      <c r="X154" s="135"/>
      <c r="Y154" s="135"/>
      <c r="Z154" s="135"/>
      <c r="AA154" s="135"/>
      <c r="AB154" s="135"/>
      <c r="AC154" s="135"/>
    </row>
    <row r="155" ht="20.25" hidden="1" customHeight="1" outlineLevel="1">
      <c r="B155" s="125"/>
      <c r="C155" s="130"/>
      <c r="D155" s="127"/>
      <c r="E155" s="127"/>
      <c r="F155" s="127"/>
      <c r="G155" s="127"/>
      <c r="H155" s="127"/>
      <c r="I155" s="127"/>
      <c r="J155" s="129"/>
      <c r="K155" s="129"/>
      <c r="L155" s="130"/>
      <c r="M155" s="130"/>
      <c r="N155" s="130"/>
      <c r="O155" s="130"/>
      <c r="P155" s="129"/>
      <c r="Q155" s="127"/>
      <c r="R155" s="119"/>
      <c r="S155" s="137"/>
      <c r="T155" s="133"/>
      <c r="U155" s="134"/>
      <c r="V155" s="135"/>
      <c r="W155" s="135"/>
      <c r="X155" s="135"/>
      <c r="Y155" s="135"/>
      <c r="Z155" s="135"/>
      <c r="AA155" s="135"/>
      <c r="AB155" s="135"/>
      <c r="AC155" s="135"/>
    </row>
    <row r="156" ht="20.25" hidden="1" customHeight="1" outlineLevel="1">
      <c r="B156" s="125"/>
      <c r="C156" s="130"/>
      <c r="D156" s="127"/>
      <c r="E156" s="127"/>
      <c r="F156" s="127"/>
      <c r="G156" s="127"/>
      <c r="H156" s="127"/>
      <c r="I156" s="127"/>
      <c r="J156" s="129"/>
      <c r="K156" s="129"/>
      <c r="L156" s="130"/>
      <c r="M156" s="130"/>
      <c r="N156" s="130"/>
      <c r="O156" s="130"/>
      <c r="P156" s="129"/>
      <c r="Q156" s="127"/>
      <c r="R156" s="119"/>
      <c r="S156" s="132"/>
      <c r="T156" s="133"/>
      <c r="U156" s="134"/>
      <c r="V156" s="135"/>
      <c r="W156" s="135"/>
      <c r="X156" s="135"/>
      <c r="Y156" s="135"/>
      <c r="Z156" s="135"/>
      <c r="AA156" s="135"/>
      <c r="AB156" s="135"/>
      <c r="AC156" s="135"/>
    </row>
    <row r="157" ht="20.25" hidden="1" customHeight="1" outlineLevel="1">
      <c r="B157" s="125"/>
      <c r="C157" s="130"/>
      <c r="D157" s="127"/>
      <c r="E157" s="127"/>
      <c r="F157" s="127"/>
      <c r="G157" s="127"/>
      <c r="H157" s="127"/>
      <c r="I157" s="127"/>
      <c r="J157" s="129"/>
      <c r="K157" s="129"/>
      <c r="L157" s="130"/>
      <c r="M157" s="130"/>
      <c r="N157" s="130"/>
      <c r="O157" s="130"/>
      <c r="P157" s="129"/>
      <c r="Q157" s="127"/>
      <c r="R157" s="119"/>
      <c r="S157" s="137"/>
      <c r="T157" s="133"/>
      <c r="U157" s="134"/>
      <c r="V157" s="135"/>
      <c r="W157" s="135"/>
      <c r="X157" s="135"/>
      <c r="Y157" s="135"/>
      <c r="Z157" s="135"/>
      <c r="AA157" s="135"/>
      <c r="AB157" s="135"/>
      <c r="AC157" s="135"/>
    </row>
    <row r="158" ht="20.25" hidden="1" customHeight="1" outlineLevel="1">
      <c r="B158" s="125"/>
      <c r="C158" s="130"/>
      <c r="D158" s="127"/>
      <c r="E158" s="127"/>
      <c r="F158" s="127"/>
      <c r="G158" s="127"/>
      <c r="H158" s="127"/>
      <c r="I158" s="127"/>
      <c r="J158" s="129"/>
      <c r="K158" s="129"/>
      <c r="L158" s="130"/>
      <c r="M158" s="130"/>
      <c r="N158" s="130"/>
      <c r="O158" s="130"/>
      <c r="P158" s="129"/>
      <c r="Q158" s="127"/>
      <c r="R158" s="119"/>
      <c r="S158" s="132"/>
      <c r="T158" s="133"/>
      <c r="U158" s="134"/>
      <c r="V158" s="135"/>
      <c r="W158" s="135"/>
      <c r="X158" s="135"/>
      <c r="Y158" s="135"/>
      <c r="Z158" s="135"/>
      <c r="AA158" s="135"/>
      <c r="AB158" s="135"/>
      <c r="AC158" s="135"/>
    </row>
    <row r="159" ht="20.25" hidden="1" customHeight="1" outlineLevel="1">
      <c r="B159" s="125"/>
      <c r="C159" s="130"/>
      <c r="D159" s="127"/>
      <c r="E159" s="127"/>
      <c r="F159" s="127"/>
      <c r="G159" s="127"/>
      <c r="H159" s="127"/>
      <c r="I159" s="127"/>
      <c r="J159" s="129"/>
      <c r="K159" s="129"/>
      <c r="L159" s="130"/>
      <c r="M159" s="130"/>
      <c r="N159" s="130"/>
      <c r="O159" s="130"/>
      <c r="P159" s="129"/>
      <c r="Q159" s="127"/>
      <c r="R159" s="119"/>
      <c r="S159" s="132"/>
      <c r="T159" s="133"/>
      <c r="U159" s="134"/>
      <c r="V159" s="135"/>
      <c r="W159" s="135"/>
      <c r="X159" s="135"/>
      <c r="Y159" s="135"/>
      <c r="Z159" s="135"/>
      <c r="AA159" s="135"/>
      <c r="AB159" s="135"/>
      <c r="AC159" s="135"/>
    </row>
    <row r="160" ht="20.25" hidden="1" customHeight="1" outlineLevel="1">
      <c r="B160" s="125"/>
      <c r="C160" s="130"/>
      <c r="D160" s="127"/>
      <c r="E160" s="127"/>
      <c r="F160" s="127"/>
      <c r="G160" s="127"/>
      <c r="H160" s="127"/>
      <c r="I160" s="127"/>
      <c r="J160" s="129"/>
      <c r="K160" s="129"/>
      <c r="L160" s="130"/>
      <c r="M160" s="130"/>
      <c r="N160" s="130"/>
      <c r="O160" s="130"/>
      <c r="P160" s="129"/>
      <c r="Q160" s="127"/>
      <c r="R160" s="119"/>
      <c r="S160" s="137"/>
      <c r="T160" s="133"/>
      <c r="U160" s="134"/>
      <c r="V160" s="135"/>
      <c r="W160" s="135"/>
      <c r="X160" s="135"/>
      <c r="Y160" s="135"/>
      <c r="Z160" s="135"/>
      <c r="AA160" s="135"/>
      <c r="AB160" s="135"/>
      <c r="AC160" s="135"/>
    </row>
    <row r="161" ht="20.25" hidden="1" customHeight="1" outlineLevel="1">
      <c r="B161" s="125"/>
      <c r="C161" s="130"/>
      <c r="D161" s="127"/>
      <c r="E161" s="127"/>
      <c r="F161" s="127"/>
      <c r="G161" s="127"/>
      <c r="H161" s="127"/>
      <c r="I161" s="127"/>
      <c r="J161" s="129"/>
      <c r="K161" s="129"/>
      <c r="L161" s="130"/>
      <c r="M161" s="130"/>
      <c r="N161" s="130"/>
      <c r="O161" s="130"/>
      <c r="P161" s="129"/>
      <c r="Q161" s="127"/>
      <c r="R161" s="119"/>
      <c r="S161" s="132"/>
      <c r="T161" s="133"/>
      <c r="U161" s="134"/>
      <c r="V161" s="135"/>
      <c r="W161" s="135"/>
      <c r="X161" s="135"/>
      <c r="Y161" s="135"/>
      <c r="Z161" s="135"/>
      <c r="AA161" s="135"/>
      <c r="AB161" s="135"/>
      <c r="AC161" s="135"/>
    </row>
    <row r="162" ht="20.25" hidden="1" customHeight="1" outlineLevel="1">
      <c r="B162" s="125"/>
      <c r="C162" s="130"/>
      <c r="D162" s="127"/>
      <c r="E162" s="127"/>
      <c r="F162" s="127"/>
      <c r="G162" s="127"/>
      <c r="H162" s="127"/>
      <c r="I162" s="127"/>
      <c r="J162" s="129"/>
      <c r="K162" s="129"/>
      <c r="L162" s="130"/>
      <c r="M162" s="130"/>
      <c r="N162" s="130"/>
      <c r="O162" s="130"/>
      <c r="P162" s="129"/>
      <c r="Q162" s="127"/>
      <c r="R162" s="119"/>
      <c r="S162" s="137"/>
      <c r="T162" s="133"/>
      <c r="U162" s="134"/>
      <c r="V162" s="135"/>
      <c r="W162" s="135"/>
      <c r="X162" s="135"/>
      <c r="Y162" s="135"/>
      <c r="Z162" s="135"/>
      <c r="AA162" s="135"/>
      <c r="AB162" s="135"/>
      <c r="AC162" s="135"/>
    </row>
    <row r="163" ht="20.25" hidden="1" customHeight="1" outlineLevel="1">
      <c r="B163" s="125"/>
      <c r="C163" s="130"/>
      <c r="D163" s="127"/>
      <c r="E163" s="127"/>
      <c r="F163" s="127"/>
      <c r="G163" s="127"/>
      <c r="H163" s="127"/>
      <c r="I163" s="127"/>
      <c r="J163" s="129"/>
      <c r="K163" s="129"/>
      <c r="L163" s="130"/>
      <c r="M163" s="130"/>
      <c r="N163" s="130"/>
      <c r="O163" s="130"/>
      <c r="P163" s="129"/>
      <c r="Q163" s="127"/>
      <c r="R163" s="119"/>
      <c r="S163" s="132"/>
      <c r="T163" s="133"/>
      <c r="U163" s="134"/>
      <c r="V163" s="135"/>
      <c r="W163" s="135"/>
      <c r="X163" s="135"/>
      <c r="Y163" s="135"/>
      <c r="Z163" s="135"/>
      <c r="AA163" s="135"/>
      <c r="AB163" s="135"/>
      <c r="AC163" s="135"/>
    </row>
    <row r="164" ht="20.25" hidden="1" customHeight="1" outlineLevel="1">
      <c r="B164" s="125"/>
      <c r="C164" s="130"/>
      <c r="D164" s="127"/>
      <c r="E164" s="127"/>
      <c r="F164" s="127"/>
      <c r="G164" s="127"/>
      <c r="H164" s="127"/>
      <c r="I164" s="127"/>
      <c r="J164" s="129"/>
      <c r="K164" s="129"/>
      <c r="L164" s="130"/>
      <c r="M164" s="130"/>
      <c r="N164" s="130"/>
      <c r="O164" s="130"/>
      <c r="P164" s="129"/>
      <c r="Q164" s="127"/>
      <c r="R164" s="119"/>
      <c r="S164" s="132"/>
      <c r="T164" s="133"/>
      <c r="U164" s="134"/>
      <c r="V164" s="135"/>
      <c r="W164" s="135"/>
      <c r="X164" s="135"/>
      <c r="Y164" s="135"/>
      <c r="Z164" s="135"/>
      <c r="AA164" s="135"/>
      <c r="AB164" s="135"/>
      <c r="AC164" s="135"/>
    </row>
    <row r="165" ht="20.25" hidden="1" customHeight="1" outlineLevel="1">
      <c r="B165" s="125"/>
      <c r="C165" s="130"/>
      <c r="D165" s="127"/>
      <c r="E165" s="127"/>
      <c r="F165" s="127"/>
      <c r="G165" s="127"/>
      <c r="H165" s="127"/>
      <c r="I165" s="127"/>
      <c r="J165" s="129"/>
      <c r="K165" s="129"/>
      <c r="L165" s="130"/>
      <c r="M165" s="130"/>
      <c r="N165" s="130"/>
      <c r="O165" s="130"/>
      <c r="P165" s="129"/>
      <c r="Q165" s="127"/>
      <c r="R165" s="119"/>
      <c r="S165" s="137"/>
      <c r="T165" s="133"/>
      <c r="U165" s="134"/>
      <c r="V165" s="135"/>
      <c r="W165" s="135"/>
      <c r="X165" s="135"/>
      <c r="Y165" s="135"/>
      <c r="Z165" s="135"/>
      <c r="AA165" s="135"/>
      <c r="AB165" s="135"/>
      <c r="AC165" s="135"/>
    </row>
    <row r="166" ht="20.25" hidden="1" customHeight="1" outlineLevel="1">
      <c r="B166" s="125"/>
      <c r="C166" s="130"/>
      <c r="D166" s="127"/>
      <c r="E166" s="127"/>
      <c r="F166" s="127"/>
      <c r="G166" s="127"/>
      <c r="H166" s="127"/>
      <c r="I166" s="127"/>
      <c r="J166" s="129"/>
      <c r="K166" s="129"/>
      <c r="L166" s="130"/>
      <c r="M166" s="130"/>
      <c r="N166" s="130"/>
      <c r="O166" s="130"/>
      <c r="P166" s="129"/>
      <c r="Q166" s="127"/>
      <c r="R166" s="119"/>
      <c r="S166" s="132"/>
      <c r="T166" s="133"/>
      <c r="U166" s="134"/>
      <c r="V166" s="135"/>
      <c r="W166" s="135"/>
      <c r="X166" s="135"/>
      <c r="Y166" s="135"/>
      <c r="Z166" s="135"/>
      <c r="AA166" s="135"/>
      <c r="AB166" s="135"/>
      <c r="AC166" s="135"/>
    </row>
    <row r="167" ht="20.25" hidden="1" customHeight="1" outlineLevel="1">
      <c r="B167" s="125"/>
      <c r="C167" s="130"/>
      <c r="D167" s="127"/>
      <c r="E167" s="127"/>
      <c r="F167" s="127"/>
      <c r="G167" s="127"/>
      <c r="H167" s="127"/>
      <c r="I167" s="127"/>
      <c r="J167" s="129"/>
      <c r="K167" s="129"/>
      <c r="L167" s="130"/>
      <c r="M167" s="130"/>
      <c r="N167" s="130"/>
      <c r="O167" s="130"/>
      <c r="P167" s="129"/>
      <c r="Q167" s="127"/>
      <c r="R167" s="119"/>
      <c r="S167" s="137"/>
      <c r="T167" s="133"/>
      <c r="U167" s="134"/>
      <c r="V167" s="135"/>
      <c r="W167" s="135"/>
      <c r="X167" s="135"/>
      <c r="Y167" s="135"/>
      <c r="Z167" s="135"/>
      <c r="AA167" s="135"/>
      <c r="AB167" s="135"/>
      <c r="AC167" s="135"/>
    </row>
    <row r="168" ht="20.25" hidden="1" customHeight="1" outlineLevel="1">
      <c r="B168" s="125"/>
      <c r="C168" s="130"/>
      <c r="D168" s="127"/>
      <c r="E168" s="127"/>
      <c r="F168" s="127"/>
      <c r="G168" s="127"/>
      <c r="H168" s="127"/>
      <c r="I168" s="127"/>
      <c r="J168" s="129"/>
      <c r="K168" s="129"/>
      <c r="L168" s="130"/>
      <c r="M168" s="130"/>
      <c r="N168" s="130"/>
      <c r="O168" s="130"/>
      <c r="P168" s="129"/>
      <c r="Q168" s="127"/>
      <c r="R168" s="119"/>
      <c r="S168" s="137"/>
      <c r="T168" s="133"/>
      <c r="U168" s="134"/>
      <c r="V168" s="135"/>
      <c r="W168" s="135"/>
      <c r="X168" s="135"/>
      <c r="Y168" s="135"/>
      <c r="Z168" s="135"/>
      <c r="AA168" s="135"/>
      <c r="AB168" s="135"/>
      <c r="AC168" s="135"/>
    </row>
    <row r="169" ht="20.25" hidden="1" customHeight="1" outlineLevel="1">
      <c r="B169" s="125"/>
      <c r="C169" s="130"/>
      <c r="D169" s="127"/>
      <c r="E169" s="127"/>
      <c r="F169" s="127"/>
      <c r="G169" s="127"/>
      <c r="H169" s="127"/>
      <c r="I169" s="127"/>
      <c r="J169" s="129"/>
      <c r="K169" s="129"/>
      <c r="L169" s="130"/>
      <c r="M169" s="130"/>
      <c r="N169" s="130"/>
      <c r="O169" s="130"/>
      <c r="P169" s="129"/>
      <c r="Q169" s="127"/>
      <c r="R169" s="119"/>
      <c r="S169" s="137"/>
      <c r="T169" s="133"/>
      <c r="U169" s="134"/>
      <c r="V169" s="135"/>
      <c r="W169" s="135"/>
      <c r="X169" s="135"/>
      <c r="Y169" s="135"/>
      <c r="Z169" s="135"/>
      <c r="AA169" s="135"/>
      <c r="AB169" s="135"/>
      <c r="AC169" s="135"/>
    </row>
    <row r="170" ht="20.25" hidden="1" customHeight="1" outlineLevel="1">
      <c r="B170" s="125"/>
      <c r="C170" s="130"/>
      <c r="D170" s="127"/>
      <c r="E170" s="127"/>
      <c r="F170" s="127"/>
      <c r="G170" s="127"/>
      <c r="H170" s="127"/>
      <c r="I170" s="127"/>
      <c r="J170" s="129"/>
      <c r="K170" s="129"/>
      <c r="L170" s="130"/>
      <c r="M170" s="130"/>
      <c r="N170" s="130"/>
      <c r="O170" s="130"/>
      <c r="P170" s="129"/>
      <c r="Q170" s="127"/>
      <c r="R170" s="119"/>
      <c r="S170" s="137"/>
      <c r="T170" s="133"/>
      <c r="U170" s="134"/>
      <c r="V170" s="135"/>
      <c r="W170" s="135"/>
      <c r="X170" s="135"/>
      <c r="Y170" s="135"/>
      <c r="Z170" s="135"/>
      <c r="AA170" s="135"/>
      <c r="AB170" s="135"/>
      <c r="AC170" s="135"/>
    </row>
    <row r="171" ht="20.25" hidden="1" customHeight="1" outlineLevel="1">
      <c r="B171" s="125"/>
      <c r="C171" s="130"/>
      <c r="D171" s="127"/>
      <c r="E171" s="127"/>
      <c r="F171" s="127"/>
      <c r="G171" s="127"/>
      <c r="H171" s="127"/>
      <c r="I171" s="127"/>
      <c r="J171" s="129"/>
      <c r="K171" s="129"/>
      <c r="L171" s="130"/>
      <c r="M171" s="130"/>
      <c r="N171" s="130"/>
      <c r="O171" s="130"/>
      <c r="P171" s="129"/>
      <c r="Q171" s="127"/>
      <c r="R171" s="119"/>
      <c r="S171" s="137"/>
      <c r="T171" s="133"/>
      <c r="U171" s="134"/>
      <c r="V171" s="135"/>
      <c r="W171" s="135"/>
      <c r="X171" s="135"/>
      <c r="Y171" s="135"/>
      <c r="Z171" s="135"/>
      <c r="AA171" s="135"/>
      <c r="AB171" s="135"/>
      <c r="AC171" s="135"/>
    </row>
    <row r="172" ht="20.25" hidden="1" customHeight="1" outlineLevel="1">
      <c r="B172" s="125"/>
      <c r="C172" s="130"/>
      <c r="D172" s="127"/>
      <c r="E172" s="127"/>
      <c r="F172" s="127"/>
      <c r="G172" s="127"/>
      <c r="H172" s="127"/>
      <c r="I172" s="127"/>
      <c r="J172" s="129"/>
      <c r="K172" s="129"/>
      <c r="L172" s="130"/>
      <c r="M172" s="130"/>
      <c r="N172" s="130"/>
      <c r="O172" s="130"/>
      <c r="P172" s="129"/>
      <c r="Q172" s="127"/>
      <c r="R172" s="119"/>
      <c r="S172" s="132"/>
      <c r="T172" s="133"/>
      <c r="U172" s="134"/>
      <c r="V172" s="135"/>
      <c r="W172" s="135"/>
      <c r="X172" s="135"/>
      <c r="Y172" s="135"/>
      <c r="Z172" s="135"/>
      <c r="AA172" s="135"/>
      <c r="AB172" s="135"/>
      <c r="AC172" s="135"/>
    </row>
    <row r="173" ht="20.25" hidden="1" customHeight="1" outlineLevel="1">
      <c r="B173" s="125"/>
      <c r="C173" s="130"/>
      <c r="D173" s="127"/>
      <c r="E173" s="127"/>
      <c r="F173" s="127"/>
      <c r="G173" s="127"/>
      <c r="H173" s="127"/>
      <c r="I173" s="127"/>
      <c r="J173" s="129"/>
      <c r="K173" s="129"/>
      <c r="L173" s="130"/>
      <c r="M173" s="130"/>
      <c r="N173" s="130"/>
      <c r="O173" s="130"/>
      <c r="P173" s="129"/>
      <c r="Q173" s="127"/>
      <c r="R173" s="119"/>
      <c r="S173" s="132"/>
      <c r="T173" s="133"/>
      <c r="U173" s="134"/>
      <c r="V173" s="135"/>
      <c r="W173" s="135"/>
      <c r="X173" s="135"/>
      <c r="Y173" s="135"/>
      <c r="Z173" s="135"/>
      <c r="AA173" s="135"/>
      <c r="AB173" s="135"/>
      <c r="AC173" s="135"/>
    </row>
    <row r="174" ht="20.25" hidden="1" customHeight="1" outlineLevel="1">
      <c r="B174" s="125"/>
      <c r="C174" s="130"/>
      <c r="D174" s="127"/>
      <c r="E174" s="127"/>
      <c r="F174" s="127"/>
      <c r="G174" s="127"/>
      <c r="H174" s="127"/>
      <c r="I174" s="127"/>
      <c r="J174" s="129"/>
      <c r="K174" s="129"/>
      <c r="L174" s="130"/>
      <c r="M174" s="130"/>
      <c r="N174" s="130"/>
      <c r="O174" s="130"/>
      <c r="P174" s="129"/>
      <c r="Q174" s="127"/>
      <c r="R174" s="119"/>
      <c r="S174" s="137"/>
      <c r="T174" s="133"/>
      <c r="U174" s="134"/>
      <c r="V174" s="135"/>
      <c r="W174" s="135"/>
      <c r="X174" s="135"/>
      <c r="Y174" s="135"/>
      <c r="Z174" s="135"/>
      <c r="AA174" s="135"/>
      <c r="AB174" s="135"/>
      <c r="AC174" s="135"/>
    </row>
    <row r="175" ht="20.25" hidden="1" customHeight="1" outlineLevel="1">
      <c r="B175" s="125"/>
      <c r="C175" s="130"/>
      <c r="D175" s="127"/>
      <c r="E175" s="127"/>
      <c r="F175" s="127"/>
      <c r="G175" s="127"/>
      <c r="H175" s="127"/>
      <c r="I175" s="127"/>
      <c r="J175" s="129"/>
      <c r="K175" s="129"/>
      <c r="L175" s="130"/>
      <c r="M175" s="130"/>
      <c r="N175" s="130"/>
      <c r="O175" s="130"/>
      <c r="P175" s="129"/>
      <c r="Q175" s="127"/>
      <c r="R175" s="119"/>
      <c r="S175" s="132"/>
      <c r="T175" s="133"/>
      <c r="U175" s="134"/>
      <c r="V175" s="135"/>
      <c r="W175" s="135"/>
      <c r="X175" s="135"/>
      <c r="Y175" s="135"/>
      <c r="Z175" s="135"/>
      <c r="AA175" s="135"/>
      <c r="AB175" s="135"/>
      <c r="AC175" s="135"/>
    </row>
    <row r="176" ht="20.25" hidden="1" customHeight="1" outlineLevel="1">
      <c r="B176" s="125"/>
      <c r="C176" s="130"/>
      <c r="D176" s="127"/>
      <c r="E176" s="127"/>
      <c r="F176" s="127"/>
      <c r="G176" s="127"/>
      <c r="H176" s="127"/>
      <c r="I176" s="127"/>
      <c r="J176" s="129"/>
      <c r="K176" s="129"/>
      <c r="L176" s="130"/>
      <c r="M176" s="130"/>
      <c r="N176" s="130"/>
      <c r="O176" s="130"/>
      <c r="P176" s="129"/>
      <c r="Q176" s="127"/>
      <c r="R176" s="119"/>
      <c r="S176" s="132"/>
      <c r="T176" s="133"/>
      <c r="U176" s="134"/>
      <c r="V176" s="135"/>
      <c r="W176" s="135"/>
      <c r="X176" s="135"/>
      <c r="Y176" s="135"/>
      <c r="Z176" s="135"/>
      <c r="AA176" s="135"/>
      <c r="AB176" s="135"/>
      <c r="AC176" s="135"/>
    </row>
    <row r="177" ht="20.25" hidden="1" customHeight="1" outlineLevel="1">
      <c r="B177" s="125"/>
      <c r="C177" s="130"/>
      <c r="D177" s="127"/>
      <c r="E177" s="127"/>
      <c r="F177" s="127"/>
      <c r="G177" s="127"/>
      <c r="H177" s="127"/>
      <c r="I177" s="127"/>
      <c r="J177" s="129"/>
      <c r="K177" s="129"/>
      <c r="L177" s="130"/>
      <c r="M177" s="130"/>
      <c r="N177" s="130"/>
      <c r="O177" s="130"/>
      <c r="P177" s="129"/>
      <c r="Q177" s="127"/>
      <c r="R177" s="119"/>
      <c r="S177" s="132"/>
      <c r="T177" s="133"/>
      <c r="U177" s="134"/>
      <c r="V177" s="135"/>
      <c r="W177" s="135"/>
      <c r="X177" s="135"/>
      <c r="Y177" s="135"/>
      <c r="Z177" s="135"/>
      <c r="AA177" s="135"/>
      <c r="AB177" s="135"/>
      <c r="AC177" s="135"/>
    </row>
    <row r="178" ht="20.25" hidden="1" customHeight="1" outlineLevel="1">
      <c r="B178" s="125"/>
      <c r="C178" s="130"/>
      <c r="D178" s="127"/>
      <c r="E178" s="127"/>
      <c r="F178" s="127"/>
      <c r="G178" s="127"/>
      <c r="H178" s="127"/>
      <c r="I178" s="127"/>
      <c r="J178" s="129"/>
      <c r="K178" s="129"/>
      <c r="L178" s="130"/>
      <c r="M178" s="130"/>
      <c r="N178" s="130"/>
      <c r="O178" s="130"/>
      <c r="P178" s="129"/>
      <c r="Q178" s="127"/>
      <c r="R178" s="119"/>
      <c r="S178" s="132"/>
      <c r="T178" s="133"/>
      <c r="U178" s="134"/>
      <c r="V178" s="135"/>
      <c r="W178" s="135"/>
      <c r="X178" s="135"/>
      <c r="Y178" s="135"/>
      <c r="Z178" s="135"/>
      <c r="AA178" s="135"/>
      <c r="AB178" s="135"/>
      <c r="AC178" s="135"/>
    </row>
    <row r="179" ht="20.25" hidden="1" customHeight="1" outlineLevel="1">
      <c r="B179" s="125"/>
      <c r="C179" s="130"/>
      <c r="D179" s="127"/>
      <c r="E179" s="127"/>
      <c r="F179" s="127"/>
      <c r="G179" s="127"/>
      <c r="H179" s="127"/>
      <c r="I179" s="127"/>
      <c r="J179" s="129"/>
      <c r="K179" s="129"/>
      <c r="L179" s="130"/>
      <c r="M179" s="130"/>
      <c r="N179" s="130"/>
      <c r="O179" s="130"/>
      <c r="P179" s="129"/>
      <c r="Q179" s="127"/>
      <c r="R179" s="119"/>
      <c r="S179" s="132"/>
      <c r="T179" s="133"/>
      <c r="U179" s="134"/>
      <c r="V179" s="135"/>
      <c r="W179" s="135"/>
      <c r="X179" s="135"/>
      <c r="Y179" s="135"/>
      <c r="Z179" s="135"/>
      <c r="AA179" s="135"/>
      <c r="AB179" s="135"/>
      <c r="AC179" s="135"/>
    </row>
    <row r="180" ht="20.25" hidden="1" customHeight="1" outlineLevel="1">
      <c r="B180" s="125"/>
      <c r="C180" s="130"/>
      <c r="D180" s="127"/>
      <c r="E180" s="127"/>
      <c r="F180" s="127"/>
      <c r="G180" s="127"/>
      <c r="H180" s="127"/>
      <c r="I180" s="127"/>
      <c r="J180" s="129"/>
      <c r="K180" s="129"/>
      <c r="L180" s="130"/>
      <c r="M180" s="130"/>
      <c r="N180" s="130"/>
      <c r="O180" s="130"/>
      <c r="P180" s="129"/>
      <c r="Q180" s="127"/>
      <c r="R180" s="119"/>
      <c r="S180" s="132"/>
      <c r="T180" s="133"/>
      <c r="U180" s="134"/>
      <c r="V180" s="135"/>
      <c r="W180" s="135"/>
      <c r="X180" s="135"/>
      <c r="Y180" s="135"/>
      <c r="Z180" s="135"/>
      <c r="AA180" s="135"/>
      <c r="AB180" s="135"/>
      <c r="AC180" s="135"/>
    </row>
    <row r="181" ht="20.25" hidden="1" customHeight="1" outlineLevel="1">
      <c r="B181" s="125"/>
      <c r="C181" s="130"/>
      <c r="D181" s="127"/>
      <c r="E181" s="127"/>
      <c r="F181" s="127"/>
      <c r="G181" s="127"/>
      <c r="H181" s="127"/>
      <c r="I181" s="127"/>
      <c r="J181" s="129"/>
      <c r="K181" s="129"/>
      <c r="L181" s="130"/>
      <c r="M181" s="130"/>
      <c r="N181" s="130"/>
      <c r="O181" s="130"/>
      <c r="P181" s="129"/>
      <c r="Q181" s="127"/>
      <c r="R181" s="119"/>
      <c r="S181" s="132"/>
      <c r="T181" s="133"/>
      <c r="U181" s="134"/>
      <c r="V181" s="135"/>
      <c r="W181" s="135"/>
      <c r="X181" s="135"/>
      <c r="Y181" s="135"/>
      <c r="Z181" s="135"/>
      <c r="AA181" s="135"/>
      <c r="AB181" s="135"/>
      <c r="AC181" s="135"/>
    </row>
    <row r="182" ht="20.25" hidden="1" customHeight="1" outlineLevel="1">
      <c r="B182" s="125"/>
      <c r="C182" s="130"/>
      <c r="D182" s="127"/>
      <c r="E182" s="127"/>
      <c r="F182" s="127"/>
      <c r="G182" s="127"/>
      <c r="H182" s="127"/>
      <c r="I182" s="127"/>
      <c r="J182" s="129"/>
      <c r="K182" s="129"/>
      <c r="L182" s="130"/>
      <c r="M182" s="130"/>
      <c r="N182" s="130"/>
      <c r="O182" s="130"/>
      <c r="P182" s="129"/>
      <c r="Q182" s="127"/>
      <c r="R182" s="119"/>
      <c r="S182" s="137"/>
      <c r="T182" s="133"/>
      <c r="U182" s="134"/>
      <c r="V182" s="135"/>
      <c r="W182" s="135"/>
      <c r="X182" s="135"/>
      <c r="Y182" s="135"/>
      <c r="Z182" s="135"/>
      <c r="AA182" s="135"/>
      <c r="AB182" s="135"/>
      <c r="AC182" s="135"/>
    </row>
    <row r="183" ht="20.25" hidden="1" customHeight="1" outlineLevel="1">
      <c r="B183" s="125"/>
      <c r="C183" s="130"/>
      <c r="D183" s="127"/>
      <c r="E183" s="127"/>
      <c r="F183" s="127"/>
      <c r="G183" s="127"/>
      <c r="H183" s="127"/>
      <c r="I183" s="127"/>
      <c r="J183" s="129"/>
      <c r="K183" s="129"/>
      <c r="L183" s="130"/>
      <c r="M183" s="130"/>
      <c r="N183" s="130"/>
      <c r="O183" s="130"/>
      <c r="P183" s="129"/>
      <c r="Q183" s="127"/>
      <c r="R183" s="119"/>
      <c r="S183" s="132"/>
      <c r="T183" s="133"/>
      <c r="U183" s="134"/>
      <c r="V183" s="135"/>
      <c r="W183" s="135"/>
      <c r="X183" s="135"/>
      <c r="Y183" s="135"/>
      <c r="Z183" s="135"/>
      <c r="AA183" s="135"/>
      <c r="AB183" s="135"/>
      <c r="AC183" s="135"/>
    </row>
    <row r="184" ht="20.25" hidden="1" customHeight="1" outlineLevel="1">
      <c r="B184" s="125"/>
      <c r="C184" s="130"/>
      <c r="D184" s="127"/>
      <c r="E184" s="127"/>
      <c r="F184" s="127"/>
      <c r="G184" s="127"/>
      <c r="H184" s="127"/>
      <c r="I184" s="127"/>
      <c r="J184" s="129"/>
      <c r="K184" s="129"/>
      <c r="L184" s="130"/>
      <c r="M184" s="130"/>
      <c r="N184" s="130"/>
      <c r="O184" s="130"/>
      <c r="P184" s="129"/>
      <c r="Q184" s="127"/>
      <c r="R184" s="119"/>
      <c r="S184" s="132"/>
      <c r="T184" s="133"/>
      <c r="U184" s="134"/>
      <c r="V184" s="135"/>
      <c r="W184" s="135"/>
      <c r="X184" s="135"/>
      <c r="Y184" s="135"/>
      <c r="Z184" s="135"/>
      <c r="AA184" s="135"/>
      <c r="AB184" s="135"/>
      <c r="AC184" s="135"/>
    </row>
    <row r="185" ht="20.25" hidden="1" customHeight="1" outlineLevel="1">
      <c r="B185" s="125"/>
      <c r="C185" s="130"/>
      <c r="D185" s="127"/>
      <c r="E185" s="127"/>
      <c r="F185" s="127"/>
      <c r="G185" s="127"/>
      <c r="H185" s="127"/>
      <c r="I185" s="127"/>
      <c r="J185" s="129"/>
      <c r="K185" s="129"/>
      <c r="L185" s="130"/>
      <c r="M185" s="130"/>
      <c r="N185" s="130"/>
      <c r="O185" s="130"/>
      <c r="P185" s="129"/>
      <c r="Q185" s="127"/>
      <c r="R185" s="119"/>
      <c r="S185" s="137"/>
      <c r="T185" s="133"/>
      <c r="U185" s="134"/>
      <c r="V185" s="135"/>
      <c r="W185" s="135"/>
      <c r="X185" s="135"/>
      <c r="Y185" s="135"/>
      <c r="Z185" s="135"/>
      <c r="AA185" s="135"/>
      <c r="AB185" s="135"/>
      <c r="AC185" s="135"/>
    </row>
    <row r="186" ht="20.25" hidden="1" customHeight="1" outlineLevel="1">
      <c r="B186" s="125"/>
      <c r="C186" s="130"/>
      <c r="D186" s="127"/>
      <c r="E186" s="127"/>
      <c r="F186" s="127"/>
      <c r="G186" s="127"/>
      <c r="H186" s="127"/>
      <c r="I186" s="127"/>
      <c r="J186" s="129"/>
      <c r="K186" s="129"/>
      <c r="L186" s="130"/>
      <c r="M186" s="130"/>
      <c r="N186" s="130"/>
      <c r="O186" s="130"/>
      <c r="P186" s="129"/>
      <c r="Q186" s="127"/>
      <c r="R186" s="119"/>
      <c r="S186" s="137"/>
      <c r="T186" s="133"/>
      <c r="U186" s="134"/>
      <c r="V186" s="135"/>
      <c r="W186" s="135"/>
      <c r="X186" s="135"/>
      <c r="Y186" s="135"/>
      <c r="Z186" s="135"/>
      <c r="AA186" s="135"/>
      <c r="AB186" s="135"/>
      <c r="AC186" s="135"/>
    </row>
    <row r="187" ht="20.25" hidden="1" customHeight="1" outlineLevel="1">
      <c r="B187" s="125"/>
      <c r="C187" s="130"/>
      <c r="D187" s="127"/>
      <c r="E187" s="127"/>
      <c r="F187" s="127"/>
      <c r="G187" s="127"/>
      <c r="H187" s="127"/>
      <c r="I187" s="127"/>
      <c r="J187" s="129"/>
      <c r="K187" s="129"/>
      <c r="L187" s="130"/>
      <c r="M187" s="130"/>
      <c r="N187" s="130"/>
      <c r="O187" s="130"/>
      <c r="P187" s="129"/>
      <c r="Q187" s="127"/>
      <c r="R187" s="119"/>
      <c r="S187" s="137"/>
      <c r="T187" s="133"/>
      <c r="U187" s="134"/>
      <c r="V187" s="135"/>
      <c r="W187" s="135"/>
      <c r="X187" s="135"/>
      <c r="Y187" s="135"/>
      <c r="Z187" s="135"/>
      <c r="AA187" s="135"/>
      <c r="AB187" s="135"/>
      <c r="AC187" s="135"/>
    </row>
    <row r="188" ht="20.25" hidden="1" customHeight="1" outlineLevel="1">
      <c r="B188" s="125"/>
      <c r="C188" s="130"/>
      <c r="D188" s="127"/>
      <c r="E188" s="127"/>
      <c r="F188" s="127"/>
      <c r="G188" s="127"/>
      <c r="H188" s="127"/>
      <c r="I188" s="127"/>
      <c r="J188" s="129"/>
      <c r="K188" s="129"/>
      <c r="L188" s="130"/>
      <c r="M188" s="130"/>
      <c r="N188" s="130"/>
      <c r="O188" s="130"/>
      <c r="P188" s="129"/>
      <c r="Q188" s="127"/>
      <c r="R188" s="119"/>
      <c r="S188" s="137"/>
      <c r="T188" s="133"/>
      <c r="U188" s="134"/>
      <c r="V188" s="135"/>
      <c r="W188" s="135"/>
      <c r="X188" s="135"/>
      <c r="Y188" s="135"/>
      <c r="Z188" s="135"/>
      <c r="AA188" s="135"/>
      <c r="AB188" s="135"/>
      <c r="AC188" s="135"/>
    </row>
    <row r="189" ht="20.25" hidden="1" customHeight="1" outlineLevel="1">
      <c r="B189" s="125"/>
      <c r="C189" s="130"/>
      <c r="D189" s="127"/>
      <c r="E189" s="127"/>
      <c r="F189" s="127"/>
      <c r="G189" s="127"/>
      <c r="H189" s="127"/>
      <c r="I189" s="127"/>
      <c r="J189" s="129"/>
      <c r="K189" s="129"/>
      <c r="L189" s="130"/>
      <c r="M189" s="130"/>
      <c r="N189" s="130"/>
      <c r="O189" s="130"/>
      <c r="P189" s="129"/>
      <c r="Q189" s="127"/>
      <c r="R189" s="119"/>
      <c r="S189" s="137"/>
      <c r="T189" s="133"/>
      <c r="U189" s="134"/>
      <c r="V189" s="135"/>
      <c r="W189" s="135"/>
      <c r="X189" s="135"/>
      <c r="Y189" s="135"/>
      <c r="Z189" s="135"/>
      <c r="AA189" s="135"/>
      <c r="AB189" s="135"/>
      <c r="AC189" s="135"/>
    </row>
    <row r="190" ht="20.25" hidden="1" customHeight="1" outlineLevel="1">
      <c r="B190" s="125"/>
      <c r="C190" s="130"/>
      <c r="D190" s="127"/>
      <c r="E190" s="127"/>
      <c r="F190" s="127"/>
      <c r="G190" s="127"/>
      <c r="H190" s="127"/>
      <c r="I190" s="127"/>
      <c r="J190" s="129"/>
      <c r="K190" s="129"/>
      <c r="L190" s="130"/>
      <c r="M190" s="130"/>
      <c r="N190" s="130"/>
      <c r="O190" s="130"/>
      <c r="P190" s="129"/>
      <c r="Q190" s="127"/>
      <c r="R190" s="119"/>
      <c r="S190" s="137"/>
      <c r="T190" s="133"/>
      <c r="U190" s="134"/>
      <c r="V190" s="135"/>
      <c r="W190" s="135"/>
      <c r="X190" s="135"/>
      <c r="Y190" s="135"/>
      <c r="Z190" s="135"/>
      <c r="AA190" s="135"/>
      <c r="AB190" s="135"/>
      <c r="AC190" s="135"/>
    </row>
    <row r="191" ht="20.25" hidden="1" customHeight="1" outlineLevel="1">
      <c r="B191" s="125"/>
      <c r="C191" s="130"/>
      <c r="D191" s="127"/>
      <c r="E191" s="127"/>
      <c r="F191" s="127"/>
      <c r="G191" s="127"/>
      <c r="H191" s="127"/>
      <c r="I191" s="127"/>
      <c r="J191" s="129"/>
      <c r="K191" s="129"/>
      <c r="L191" s="130"/>
      <c r="M191" s="130"/>
      <c r="N191" s="130"/>
      <c r="O191" s="130"/>
      <c r="P191" s="129"/>
      <c r="Q191" s="127"/>
      <c r="R191" s="119"/>
      <c r="S191" s="137"/>
      <c r="T191" s="133"/>
      <c r="U191" s="134"/>
      <c r="V191" s="135"/>
      <c r="W191" s="135"/>
      <c r="X191" s="135"/>
      <c r="Y191" s="135"/>
      <c r="Z191" s="135"/>
      <c r="AA191" s="135"/>
      <c r="AB191" s="135"/>
      <c r="AC191" s="135"/>
    </row>
    <row r="192" ht="20.25" hidden="1" customHeight="1" outlineLevel="1">
      <c r="B192" s="125"/>
      <c r="C192" s="130"/>
      <c r="D192" s="127"/>
      <c r="E192" s="127"/>
      <c r="F192" s="127"/>
      <c r="G192" s="127"/>
      <c r="H192" s="127"/>
      <c r="I192" s="127"/>
      <c r="J192" s="129"/>
      <c r="K192" s="129"/>
      <c r="L192" s="130"/>
      <c r="M192" s="130"/>
      <c r="N192" s="130"/>
      <c r="O192" s="130"/>
      <c r="P192" s="129"/>
      <c r="Q192" s="127"/>
      <c r="R192" s="119"/>
      <c r="S192" s="137"/>
      <c r="T192" s="133"/>
      <c r="U192" s="134"/>
      <c r="V192" s="135"/>
      <c r="W192" s="135"/>
      <c r="X192" s="135"/>
      <c r="Y192" s="135"/>
      <c r="Z192" s="135"/>
      <c r="AA192" s="135"/>
      <c r="AB192" s="135"/>
      <c r="AC192" s="135"/>
    </row>
    <row r="193" ht="20.25" hidden="1" customHeight="1" outlineLevel="1">
      <c r="B193" s="125"/>
      <c r="C193" s="130"/>
      <c r="D193" s="127"/>
      <c r="E193" s="127"/>
      <c r="F193" s="127"/>
      <c r="G193" s="127"/>
      <c r="H193" s="127"/>
      <c r="I193" s="127"/>
      <c r="J193" s="129"/>
      <c r="K193" s="129"/>
      <c r="L193" s="130"/>
      <c r="M193" s="130"/>
      <c r="N193" s="130"/>
      <c r="O193" s="130"/>
      <c r="P193" s="129"/>
      <c r="Q193" s="127"/>
      <c r="R193" s="119"/>
      <c r="S193" s="132"/>
      <c r="T193" s="133"/>
      <c r="U193" s="134"/>
      <c r="V193" s="135"/>
      <c r="W193" s="135"/>
      <c r="X193" s="135"/>
      <c r="Y193" s="135"/>
      <c r="Z193" s="135"/>
      <c r="AA193" s="135"/>
      <c r="AB193" s="135"/>
      <c r="AC193" s="135"/>
    </row>
    <row r="194" ht="20.25" hidden="1" customHeight="1" outlineLevel="1">
      <c r="B194" s="125"/>
      <c r="C194" s="130"/>
      <c r="D194" s="127"/>
      <c r="E194" s="127"/>
      <c r="F194" s="127"/>
      <c r="G194" s="127"/>
      <c r="H194" s="127"/>
      <c r="I194" s="127"/>
      <c r="J194" s="129"/>
      <c r="K194" s="129"/>
      <c r="L194" s="130"/>
      <c r="M194" s="130"/>
      <c r="N194" s="130"/>
      <c r="O194" s="130"/>
      <c r="P194" s="129"/>
      <c r="Q194" s="127"/>
      <c r="R194" s="119"/>
      <c r="S194" s="137"/>
      <c r="T194" s="133"/>
      <c r="U194" s="134"/>
      <c r="V194" s="135"/>
      <c r="W194" s="135"/>
      <c r="X194" s="135"/>
      <c r="Y194" s="135"/>
      <c r="Z194" s="135"/>
      <c r="AA194" s="135"/>
      <c r="AB194" s="135"/>
      <c r="AC194" s="135"/>
    </row>
    <row r="195" ht="20.25" hidden="1" customHeight="1" outlineLevel="1">
      <c r="B195" s="125"/>
      <c r="C195" s="130"/>
      <c r="D195" s="127"/>
      <c r="E195" s="127"/>
      <c r="F195" s="127"/>
      <c r="G195" s="127"/>
      <c r="H195" s="127"/>
      <c r="I195" s="127"/>
      <c r="J195" s="129"/>
      <c r="K195" s="129"/>
      <c r="L195" s="130"/>
      <c r="M195" s="130"/>
      <c r="N195" s="130"/>
      <c r="O195" s="130"/>
      <c r="P195" s="129"/>
      <c r="Q195" s="127"/>
      <c r="R195" s="119"/>
      <c r="S195" s="137"/>
      <c r="T195" s="133"/>
      <c r="U195" s="134"/>
      <c r="V195" s="135"/>
      <c r="W195" s="135"/>
      <c r="X195" s="135"/>
      <c r="Y195" s="135"/>
      <c r="Z195" s="135"/>
      <c r="AA195" s="135"/>
      <c r="AB195" s="135"/>
      <c r="AC195" s="135"/>
    </row>
    <row r="196" ht="20.25" hidden="1" customHeight="1" outlineLevel="1">
      <c r="A196" s="46"/>
      <c r="B196" s="125"/>
      <c r="C196" s="130"/>
      <c r="D196" s="127"/>
      <c r="E196" s="127"/>
      <c r="F196" s="127"/>
      <c r="G196" s="127"/>
      <c r="H196" s="127"/>
      <c r="I196" s="127"/>
      <c r="J196" s="129"/>
      <c r="K196" s="129"/>
      <c r="L196" s="130"/>
      <c r="M196" s="130"/>
      <c r="N196" s="130"/>
      <c r="O196" s="130"/>
      <c r="P196" s="129"/>
      <c r="Q196" s="127"/>
      <c r="R196" s="119"/>
      <c r="S196" s="137"/>
      <c r="T196" s="133"/>
      <c r="U196" s="134"/>
      <c r="V196" s="135"/>
      <c r="W196" s="135"/>
      <c r="X196" s="135"/>
      <c r="Y196" s="135"/>
      <c r="Z196" s="135"/>
      <c r="AA196" s="135"/>
      <c r="AB196" s="135"/>
      <c r="AC196" s="135"/>
    </row>
    <row r="197" ht="20.25" customHeight="1">
      <c r="A197" s="143" t="s">
        <v>86</v>
      </c>
      <c r="B197" s="140" t="s">
        <v>84</v>
      </c>
      <c r="C197" s="131"/>
      <c r="D197" s="131"/>
      <c r="E197" s="131"/>
      <c r="F197" s="131"/>
      <c r="G197" s="131"/>
      <c r="H197" s="131"/>
      <c r="I197" s="140"/>
      <c r="J197" s="117">
        <f>SUMIF(B198:B1485,"ESEGUITO", J198:J1485)</f>
        <v>36232</v>
      </c>
      <c r="K197" s="129"/>
      <c r="L197" s="130"/>
      <c r="M197" s="130"/>
      <c r="N197" s="130"/>
      <c r="O197" s="130"/>
      <c r="P197" s="129"/>
      <c r="Q197" s="127"/>
      <c r="R197" s="127"/>
      <c r="S197" s="132"/>
      <c r="T197" s="133"/>
      <c r="U197" s="134"/>
      <c r="V197" s="135"/>
      <c r="W197" s="135"/>
      <c r="X197" s="135"/>
      <c r="Y197" s="135"/>
      <c r="Z197" s="135"/>
      <c r="AA197" s="135"/>
      <c r="AB197" s="135"/>
      <c r="AC197" s="135"/>
    </row>
    <row r="198" ht="20.25" customHeight="1" outlineLevel="1">
      <c r="A198" s="144"/>
      <c r="B198" s="125" t="s">
        <v>87</v>
      </c>
      <c r="C198" s="130">
        <v>46161.0</v>
      </c>
      <c r="D198" s="127"/>
      <c r="E198" s="127" t="s">
        <v>88</v>
      </c>
      <c r="F198" s="127" t="s">
        <v>89</v>
      </c>
      <c r="G198" s="127" t="s">
        <v>90</v>
      </c>
      <c r="H198" s="119" t="s">
        <v>50</v>
      </c>
      <c r="I198" s="127"/>
      <c r="J198" s="129">
        <v>10580.0</v>
      </c>
      <c r="K198" s="129">
        <v>2250.0</v>
      </c>
      <c r="L198" s="130">
        <v>46161.0</v>
      </c>
      <c r="M198" s="130"/>
      <c r="N198" s="130"/>
      <c r="O198" s="130"/>
      <c r="P198" s="129"/>
      <c r="Q198" s="127"/>
      <c r="R198" s="119" t="s">
        <v>91</v>
      </c>
      <c r="S198" s="132"/>
      <c r="T198" s="133"/>
      <c r="U198" s="134"/>
      <c r="V198" s="135"/>
      <c r="W198" s="135"/>
      <c r="X198" s="135"/>
      <c r="Y198" s="135"/>
      <c r="Z198" s="135"/>
      <c r="AA198" s="135"/>
      <c r="AB198" s="135"/>
      <c r="AC198" s="135"/>
    </row>
    <row r="199" ht="20.25" customHeight="1" outlineLevel="1">
      <c r="B199" s="145" t="s">
        <v>87</v>
      </c>
      <c r="C199" s="146">
        <v>46176.0</v>
      </c>
      <c r="D199" s="147"/>
      <c r="E199" s="147" t="s">
        <v>92</v>
      </c>
      <c r="F199" s="147" t="s">
        <v>89</v>
      </c>
      <c r="G199" s="147" t="s">
        <v>90</v>
      </c>
      <c r="H199" s="148" t="s">
        <v>50</v>
      </c>
      <c r="I199" s="147"/>
      <c r="J199" s="149">
        <v>9808.0</v>
      </c>
      <c r="K199" s="149">
        <v>9808.0</v>
      </c>
      <c r="L199" s="150">
        <v>46176.0</v>
      </c>
      <c r="M199" s="150"/>
      <c r="N199" s="150"/>
      <c r="O199" s="150"/>
      <c r="P199" s="149"/>
      <c r="Q199" s="147"/>
      <c r="R199" s="148" t="s">
        <v>93</v>
      </c>
      <c r="S199" s="151"/>
      <c r="T199" s="152"/>
      <c r="U199" s="153"/>
      <c r="V199" s="154"/>
      <c r="W199" s="154"/>
      <c r="X199" s="154"/>
      <c r="Y199" s="154"/>
      <c r="Z199" s="154"/>
      <c r="AA199" s="154"/>
      <c r="AB199" s="154"/>
      <c r="AC199" s="154"/>
    </row>
    <row r="200" ht="20.25" customHeight="1" outlineLevel="1">
      <c r="B200" s="125" t="s">
        <v>87</v>
      </c>
      <c r="C200" s="130">
        <v>46183.0</v>
      </c>
      <c r="D200" s="127"/>
      <c r="E200" s="127" t="s">
        <v>94</v>
      </c>
      <c r="F200" s="127" t="s">
        <v>95</v>
      </c>
      <c r="G200" s="127" t="s">
        <v>96</v>
      </c>
      <c r="H200" s="119" t="s">
        <v>50</v>
      </c>
      <c r="I200" s="127"/>
      <c r="J200" s="129">
        <v>5000.0</v>
      </c>
      <c r="K200" s="129">
        <v>5000.0</v>
      </c>
      <c r="L200" s="130">
        <v>46183.0</v>
      </c>
      <c r="M200" s="130"/>
      <c r="N200" s="130"/>
      <c r="O200" s="130"/>
      <c r="P200" s="129"/>
      <c r="Q200" s="127"/>
      <c r="R200" s="119" t="s">
        <v>97</v>
      </c>
      <c r="S200" s="132"/>
      <c r="T200" s="133"/>
      <c r="U200" s="134"/>
      <c r="V200" s="135"/>
      <c r="W200" s="135"/>
      <c r="X200" s="135"/>
      <c r="Y200" s="135"/>
      <c r="Z200" s="135"/>
      <c r="AA200" s="135"/>
      <c r="AB200" s="135"/>
      <c r="AC200" s="135"/>
    </row>
    <row r="201" ht="20.25" customHeight="1" outlineLevel="1">
      <c r="B201" s="125" t="s">
        <v>87</v>
      </c>
      <c r="C201" s="155" t="s">
        <v>98</v>
      </c>
      <c r="D201" s="127"/>
      <c r="E201" s="127" t="s">
        <v>99</v>
      </c>
      <c r="F201" s="127" t="s">
        <v>100</v>
      </c>
      <c r="G201" s="127" t="s">
        <v>96</v>
      </c>
      <c r="H201" s="119" t="s">
        <v>57</v>
      </c>
      <c r="I201" s="127"/>
      <c r="J201" s="129">
        <v>5822.0</v>
      </c>
      <c r="K201" s="129">
        <v>5822.0</v>
      </c>
      <c r="L201" s="130">
        <v>46184.0</v>
      </c>
      <c r="M201" s="130"/>
      <c r="N201" s="130"/>
      <c r="O201" s="130"/>
      <c r="P201" s="129"/>
      <c r="Q201" s="127"/>
      <c r="R201" s="119" t="s">
        <v>101</v>
      </c>
      <c r="S201" s="132"/>
      <c r="T201" s="133"/>
      <c r="U201" s="134"/>
      <c r="V201" s="135"/>
      <c r="W201" s="135"/>
      <c r="X201" s="135"/>
      <c r="Y201" s="135"/>
      <c r="Z201" s="135"/>
      <c r="AA201" s="135"/>
      <c r="AB201" s="135"/>
      <c r="AC201" s="135"/>
    </row>
    <row r="202" ht="20.25" customHeight="1" outlineLevel="1">
      <c r="B202" s="125" t="s">
        <v>87</v>
      </c>
      <c r="C202" s="130">
        <v>46184.0</v>
      </c>
      <c r="D202" s="127"/>
      <c r="E202" s="127" t="s">
        <v>102</v>
      </c>
      <c r="F202" s="127" t="s">
        <v>100</v>
      </c>
      <c r="G202" s="127" t="s">
        <v>90</v>
      </c>
      <c r="H202" s="119" t="s">
        <v>57</v>
      </c>
      <c r="I202" s="127"/>
      <c r="J202" s="129">
        <v>5022.0</v>
      </c>
      <c r="K202" s="129">
        <v>2258.0</v>
      </c>
      <c r="L202" s="130">
        <v>46184.0</v>
      </c>
      <c r="M202" s="130"/>
      <c r="N202" s="130"/>
      <c r="O202" s="130"/>
      <c r="P202" s="129"/>
      <c r="Q202" s="127"/>
      <c r="R202" s="119"/>
      <c r="S202" s="132"/>
      <c r="T202" s="133"/>
      <c r="U202" s="134"/>
      <c r="V202" s="135"/>
      <c r="W202" s="135"/>
      <c r="X202" s="135"/>
      <c r="Y202" s="135"/>
      <c r="Z202" s="135"/>
      <c r="AA202" s="135"/>
      <c r="AB202" s="135"/>
      <c r="AC202" s="135"/>
    </row>
    <row r="203" ht="20.25" customHeight="1" outlineLevel="1">
      <c r="B203" s="125"/>
      <c r="C203" s="130"/>
      <c r="D203" s="127"/>
      <c r="E203" s="127"/>
      <c r="F203" s="128"/>
      <c r="G203" s="127"/>
      <c r="H203" s="119"/>
      <c r="I203" s="127"/>
      <c r="J203" s="129"/>
      <c r="K203" s="129"/>
      <c r="L203" s="130"/>
      <c r="M203" s="130"/>
      <c r="N203" s="130"/>
      <c r="O203" s="130"/>
      <c r="P203" s="129"/>
      <c r="Q203" s="127"/>
      <c r="R203" s="119"/>
      <c r="S203" s="132"/>
      <c r="T203" s="133"/>
      <c r="U203" s="134"/>
      <c r="V203" s="135"/>
      <c r="W203" s="135"/>
      <c r="X203" s="135"/>
      <c r="Y203" s="135"/>
      <c r="Z203" s="135"/>
      <c r="AA203" s="135"/>
      <c r="AB203" s="135"/>
      <c r="AC203" s="135"/>
    </row>
    <row r="204" ht="20.25" customHeight="1" outlineLevel="1">
      <c r="B204" s="125"/>
      <c r="C204" s="130"/>
      <c r="D204" s="127"/>
      <c r="E204" s="127"/>
      <c r="F204" s="128"/>
      <c r="G204" s="127"/>
      <c r="H204" s="119"/>
      <c r="I204" s="127"/>
      <c r="J204" s="129"/>
      <c r="K204" s="129"/>
      <c r="L204" s="130"/>
      <c r="M204" s="130"/>
      <c r="N204" s="130"/>
      <c r="O204" s="130"/>
      <c r="P204" s="129"/>
      <c r="Q204" s="127"/>
      <c r="R204" s="119"/>
      <c r="S204" s="132"/>
      <c r="T204" s="133"/>
      <c r="U204" s="134"/>
      <c r="V204" s="135"/>
      <c r="W204" s="135"/>
      <c r="X204" s="135"/>
      <c r="Y204" s="135"/>
      <c r="Z204" s="135"/>
      <c r="AA204" s="135"/>
      <c r="AB204" s="135"/>
      <c r="AC204" s="135"/>
    </row>
    <row r="205" ht="20.25" customHeight="1" outlineLevel="1">
      <c r="B205" s="125"/>
      <c r="C205" s="130"/>
      <c r="D205" s="127"/>
      <c r="E205" s="132"/>
      <c r="F205" s="128"/>
      <c r="G205" s="127"/>
      <c r="H205" s="119"/>
      <c r="I205" s="127"/>
      <c r="J205" s="129"/>
      <c r="K205" s="129"/>
      <c r="L205" s="130"/>
      <c r="M205" s="130"/>
      <c r="N205" s="130"/>
      <c r="O205" s="130"/>
      <c r="P205" s="129"/>
      <c r="Q205" s="127"/>
      <c r="R205" s="119"/>
      <c r="S205" s="132"/>
      <c r="T205" s="133"/>
      <c r="U205" s="134"/>
      <c r="V205" s="135"/>
      <c r="W205" s="135"/>
      <c r="X205" s="135"/>
      <c r="Y205" s="135"/>
      <c r="Z205" s="135"/>
      <c r="AA205" s="135"/>
      <c r="AB205" s="135"/>
      <c r="AC205" s="135"/>
    </row>
    <row r="206" ht="20.25" customHeight="1" outlineLevel="1">
      <c r="B206" s="125"/>
      <c r="C206" s="130"/>
      <c r="D206" s="127"/>
      <c r="E206" s="127"/>
      <c r="F206" s="128"/>
      <c r="G206" s="127"/>
      <c r="H206" s="119"/>
      <c r="I206" s="127"/>
      <c r="J206" s="129"/>
      <c r="K206" s="129"/>
      <c r="L206" s="130"/>
      <c r="M206" s="130"/>
      <c r="N206" s="130"/>
      <c r="O206" s="130"/>
      <c r="P206" s="129"/>
      <c r="Q206" s="127"/>
      <c r="R206" s="119"/>
      <c r="S206" s="132"/>
      <c r="T206" s="133"/>
      <c r="U206" s="134"/>
      <c r="V206" s="135"/>
      <c r="W206" s="135"/>
      <c r="X206" s="135"/>
      <c r="Y206" s="135"/>
      <c r="Z206" s="135"/>
      <c r="AA206" s="135"/>
      <c r="AB206" s="135"/>
      <c r="AC206" s="135"/>
    </row>
    <row r="207" ht="20.25" customHeight="1" outlineLevel="1">
      <c r="B207" s="125"/>
      <c r="C207" s="130"/>
      <c r="D207" s="127"/>
      <c r="E207" s="132"/>
      <c r="F207" s="128"/>
      <c r="G207" s="127"/>
      <c r="H207" s="119"/>
      <c r="I207" s="127"/>
      <c r="J207" s="129"/>
      <c r="K207" s="129"/>
      <c r="L207" s="130"/>
      <c r="M207" s="130"/>
      <c r="N207" s="130"/>
      <c r="O207" s="130"/>
      <c r="P207" s="129"/>
      <c r="Q207" s="127"/>
      <c r="R207" s="119"/>
      <c r="S207" s="132"/>
      <c r="T207" s="133"/>
      <c r="U207" s="134"/>
      <c r="V207" s="135"/>
      <c r="W207" s="135"/>
      <c r="X207" s="135"/>
      <c r="Y207" s="135"/>
      <c r="Z207" s="135"/>
      <c r="AA207" s="135"/>
      <c r="AB207" s="135"/>
      <c r="AC207" s="135"/>
    </row>
    <row r="208" ht="20.25" customHeight="1" outlineLevel="1">
      <c r="B208" s="125"/>
      <c r="C208" s="130"/>
      <c r="D208" s="127"/>
      <c r="E208" s="132"/>
      <c r="F208" s="128"/>
      <c r="G208" s="127"/>
      <c r="H208" s="119"/>
      <c r="I208" s="127"/>
      <c r="J208" s="129"/>
      <c r="K208" s="129"/>
      <c r="L208" s="130"/>
      <c r="M208" s="130"/>
      <c r="N208" s="130"/>
      <c r="O208" s="130"/>
      <c r="P208" s="129"/>
      <c r="Q208" s="127"/>
      <c r="R208" s="119"/>
      <c r="S208" s="132"/>
      <c r="T208" s="133"/>
      <c r="U208" s="134"/>
      <c r="V208" s="135"/>
      <c r="W208" s="135"/>
      <c r="X208" s="135"/>
      <c r="Y208" s="135"/>
      <c r="Z208" s="135"/>
      <c r="AA208" s="135"/>
      <c r="AB208" s="135"/>
      <c r="AC208" s="135"/>
    </row>
    <row r="209" ht="20.25" customHeight="1" outlineLevel="1">
      <c r="B209" s="125"/>
      <c r="C209" s="130"/>
      <c r="D209" s="127"/>
      <c r="E209" s="132"/>
      <c r="F209" s="128"/>
      <c r="G209" s="127"/>
      <c r="H209" s="119"/>
      <c r="I209" s="127"/>
      <c r="J209" s="129"/>
      <c r="K209" s="129"/>
      <c r="L209" s="130"/>
      <c r="M209" s="130"/>
      <c r="N209" s="130"/>
      <c r="O209" s="130"/>
      <c r="P209" s="129"/>
      <c r="Q209" s="127"/>
      <c r="R209" s="119"/>
      <c r="S209" s="132"/>
      <c r="T209" s="133"/>
      <c r="U209" s="134"/>
      <c r="V209" s="135"/>
      <c r="W209" s="135"/>
      <c r="X209" s="135"/>
      <c r="Y209" s="135"/>
      <c r="Z209" s="135"/>
      <c r="AA209" s="135"/>
      <c r="AB209" s="135"/>
      <c r="AC209" s="135"/>
    </row>
    <row r="210" ht="20.25" customHeight="1" outlineLevel="1">
      <c r="B210" s="125"/>
      <c r="C210" s="130"/>
      <c r="D210" s="127"/>
      <c r="E210" s="132"/>
      <c r="F210" s="128"/>
      <c r="G210" s="127"/>
      <c r="H210" s="119"/>
      <c r="I210" s="127"/>
      <c r="J210" s="129"/>
      <c r="K210" s="129"/>
      <c r="L210" s="130"/>
      <c r="M210" s="130"/>
      <c r="N210" s="130"/>
      <c r="O210" s="130"/>
      <c r="P210" s="129"/>
      <c r="Q210" s="127"/>
      <c r="R210" s="119"/>
      <c r="S210" s="132"/>
      <c r="T210" s="133"/>
      <c r="U210" s="134"/>
      <c r="V210" s="135"/>
      <c r="W210" s="135"/>
      <c r="X210" s="135"/>
      <c r="Y210" s="135"/>
      <c r="Z210" s="135"/>
      <c r="AA210" s="135"/>
      <c r="AB210" s="135"/>
      <c r="AC210" s="135"/>
    </row>
    <row r="211" ht="20.25" customHeight="1" outlineLevel="1">
      <c r="B211" s="125"/>
      <c r="C211" s="130"/>
      <c r="D211" s="127"/>
      <c r="E211" s="132"/>
      <c r="F211" s="128"/>
      <c r="G211" s="127"/>
      <c r="H211" s="119"/>
      <c r="I211" s="127"/>
      <c r="J211" s="129"/>
      <c r="K211" s="129"/>
      <c r="L211" s="130"/>
      <c r="M211" s="130"/>
      <c r="N211" s="130"/>
      <c r="O211" s="130"/>
      <c r="P211" s="129"/>
      <c r="Q211" s="127"/>
      <c r="R211" s="119"/>
      <c r="S211" s="132"/>
      <c r="T211" s="133"/>
      <c r="U211" s="134"/>
      <c r="V211" s="135"/>
      <c r="W211" s="135"/>
      <c r="X211" s="135"/>
      <c r="Y211" s="135"/>
      <c r="Z211" s="135"/>
      <c r="AA211" s="135"/>
      <c r="AB211" s="135"/>
      <c r="AC211" s="135"/>
    </row>
    <row r="212" ht="20.25" customHeight="1" outlineLevel="1">
      <c r="B212" s="125"/>
      <c r="C212" s="130"/>
      <c r="D212" s="127"/>
      <c r="E212" s="132"/>
      <c r="F212" s="128"/>
      <c r="G212" s="127"/>
      <c r="H212" s="119"/>
      <c r="I212" s="127"/>
      <c r="J212" s="129"/>
      <c r="K212" s="129"/>
      <c r="L212" s="130"/>
      <c r="M212" s="130"/>
      <c r="N212" s="130"/>
      <c r="O212" s="130"/>
      <c r="P212" s="129"/>
      <c r="Q212" s="127"/>
      <c r="R212" s="119"/>
      <c r="S212" s="132"/>
      <c r="T212" s="133"/>
      <c r="U212" s="134"/>
      <c r="V212" s="135"/>
      <c r="W212" s="135"/>
      <c r="X212" s="135"/>
      <c r="Y212" s="135"/>
      <c r="Z212" s="135"/>
      <c r="AA212" s="135"/>
      <c r="AB212" s="135"/>
      <c r="AC212" s="135"/>
    </row>
    <row r="213" ht="20.25" customHeight="1" outlineLevel="1">
      <c r="B213" s="125"/>
      <c r="C213" s="130"/>
      <c r="D213" s="127"/>
      <c r="E213" s="132"/>
      <c r="F213" s="128"/>
      <c r="G213" s="127"/>
      <c r="H213" s="119"/>
      <c r="I213" s="127"/>
      <c r="J213" s="129"/>
      <c r="K213" s="129"/>
      <c r="L213" s="130"/>
      <c r="M213" s="130"/>
      <c r="N213" s="130"/>
      <c r="O213" s="130"/>
      <c r="P213" s="129"/>
      <c r="Q213" s="127"/>
      <c r="R213" s="119"/>
      <c r="S213" s="132"/>
      <c r="T213" s="133"/>
      <c r="U213" s="134"/>
      <c r="V213" s="135"/>
      <c r="W213" s="135"/>
      <c r="X213" s="135"/>
      <c r="Y213" s="135"/>
      <c r="Z213" s="135"/>
      <c r="AA213" s="135"/>
      <c r="AB213" s="135"/>
      <c r="AC213" s="135"/>
    </row>
    <row r="214" ht="20.25" customHeight="1" outlineLevel="1">
      <c r="B214" s="125"/>
      <c r="C214" s="130"/>
      <c r="D214" s="127"/>
      <c r="E214" s="132"/>
      <c r="F214" s="128"/>
      <c r="G214" s="127"/>
      <c r="H214" s="119"/>
      <c r="I214" s="127"/>
      <c r="J214" s="129"/>
      <c r="K214" s="129"/>
      <c r="L214" s="130"/>
      <c r="M214" s="130"/>
      <c r="N214" s="130"/>
      <c r="O214" s="130"/>
      <c r="P214" s="129"/>
      <c r="Q214" s="127"/>
      <c r="R214" s="119"/>
      <c r="S214" s="132"/>
      <c r="T214" s="133"/>
      <c r="U214" s="134"/>
      <c r="V214" s="135"/>
      <c r="W214" s="135"/>
      <c r="X214" s="135"/>
      <c r="Y214" s="135"/>
      <c r="Z214" s="135"/>
      <c r="AA214" s="135"/>
      <c r="AB214" s="135"/>
      <c r="AC214" s="135"/>
    </row>
    <row r="215" ht="20.25" customHeight="1" outlineLevel="1">
      <c r="B215" s="125"/>
      <c r="C215" s="130"/>
      <c r="D215" s="127"/>
      <c r="E215" s="132"/>
      <c r="F215" s="128"/>
      <c r="G215" s="127"/>
      <c r="H215" s="119"/>
      <c r="I215" s="127"/>
      <c r="J215" s="129"/>
      <c r="K215" s="129"/>
      <c r="L215" s="130"/>
      <c r="M215" s="130"/>
      <c r="N215" s="130"/>
      <c r="O215" s="130"/>
      <c r="P215" s="129"/>
      <c r="Q215" s="127"/>
      <c r="R215" s="119"/>
      <c r="S215" s="132"/>
      <c r="T215" s="133"/>
      <c r="U215" s="134"/>
      <c r="V215" s="135"/>
      <c r="W215" s="135"/>
      <c r="X215" s="135"/>
      <c r="Y215" s="135"/>
      <c r="Z215" s="135"/>
      <c r="AA215" s="135"/>
      <c r="AB215" s="135"/>
      <c r="AC215" s="135"/>
    </row>
    <row r="216" ht="20.25" customHeight="1" outlineLevel="1">
      <c r="B216" s="125"/>
      <c r="C216" s="130"/>
      <c r="D216" s="127"/>
      <c r="E216" s="132"/>
      <c r="F216" s="128"/>
      <c r="G216" s="127"/>
      <c r="H216" s="119"/>
      <c r="I216" s="127"/>
      <c r="J216" s="129"/>
      <c r="K216" s="129"/>
      <c r="L216" s="130"/>
      <c r="M216" s="130"/>
      <c r="N216" s="130"/>
      <c r="O216" s="130"/>
      <c r="P216" s="129"/>
      <c r="Q216" s="127"/>
      <c r="R216" s="119"/>
      <c r="S216" s="132"/>
      <c r="T216" s="133"/>
      <c r="U216" s="134"/>
      <c r="V216" s="135"/>
      <c r="W216" s="135"/>
      <c r="X216" s="135"/>
      <c r="Y216" s="135"/>
      <c r="Z216" s="135"/>
      <c r="AA216" s="135"/>
      <c r="AB216" s="135"/>
      <c r="AC216" s="135"/>
    </row>
    <row r="217" ht="20.25" customHeight="1" outlineLevel="1">
      <c r="B217" s="125"/>
      <c r="C217" s="130"/>
      <c r="D217" s="127"/>
      <c r="E217" s="132"/>
      <c r="F217" s="128"/>
      <c r="G217" s="127"/>
      <c r="H217" s="119"/>
      <c r="I217" s="127"/>
      <c r="J217" s="129"/>
      <c r="K217" s="129"/>
      <c r="L217" s="130"/>
      <c r="M217" s="130"/>
      <c r="N217" s="130"/>
      <c r="O217" s="130"/>
      <c r="P217" s="129"/>
      <c r="Q217" s="127"/>
      <c r="R217" s="119"/>
      <c r="S217" s="132"/>
      <c r="T217" s="133"/>
      <c r="U217" s="134"/>
      <c r="V217" s="135"/>
      <c r="W217" s="135"/>
      <c r="X217" s="135"/>
      <c r="Y217" s="135"/>
      <c r="Z217" s="135"/>
      <c r="AA217" s="135"/>
      <c r="AB217" s="135"/>
      <c r="AC217" s="135"/>
    </row>
    <row r="218" ht="20.25" customHeight="1" outlineLevel="1">
      <c r="B218" s="125"/>
      <c r="C218" s="130"/>
      <c r="D218" s="127"/>
      <c r="E218" s="132"/>
      <c r="F218" s="128"/>
      <c r="G218" s="127"/>
      <c r="H218" s="119"/>
      <c r="I218" s="127"/>
      <c r="J218" s="129"/>
      <c r="K218" s="129"/>
      <c r="L218" s="130"/>
      <c r="M218" s="130"/>
      <c r="N218" s="130"/>
      <c r="O218" s="130"/>
      <c r="P218" s="129"/>
      <c r="Q218" s="127"/>
      <c r="R218" s="119"/>
      <c r="S218" s="132"/>
      <c r="T218" s="133"/>
      <c r="U218" s="134"/>
      <c r="V218" s="135"/>
      <c r="W218" s="135"/>
      <c r="X218" s="135"/>
      <c r="Y218" s="135"/>
      <c r="Z218" s="135"/>
      <c r="AA218" s="135"/>
      <c r="AB218" s="135"/>
      <c r="AC218" s="135"/>
    </row>
    <row r="219" ht="20.25" customHeight="1" outlineLevel="1">
      <c r="B219" s="125"/>
      <c r="C219" s="130"/>
      <c r="D219" s="127"/>
      <c r="E219" s="132"/>
      <c r="F219" s="128"/>
      <c r="G219" s="127"/>
      <c r="H219" s="119"/>
      <c r="I219" s="127"/>
      <c r="J219" s="129"/>
      <c r="K219" s="129"/>
      <c r="L219" s="130"/>
      <c r="M219" s="130"/>
      <c r="N219" s="130"/>
      <c r="O219" s="130"/>
      <c r="P219" s="129"/>
      <c r="Q219" s="127"/>
      <c r="R219" s="119"/>
      <c r="S219" s="132"/>
      <c r="T219" s="133"/>
      <c r="U219" s="134"/>
      <c r="V219" s="135"/>
      <c r="W219" s="135"/>
      <c r="X219" s="135"/>
      <c r="Y219" s="135"/>
      <c r="Z219" s="135"/>
      <c r="AA219" s="135"/>
      <c r="AB219" s="135"/>
      <c r="AC219" s="135"/>
    </row>
    <row r="220" ht="20.25" customHeight="1" outlineLevel="1">
      <c r="B220" s="125"/>
      <c r="C220" s="130"/>
      <c r="D220" s="127"/>
      <c r="E220" s="132"/>
      <c r="F220" s="128"/>
      <c r="G220" s="127"/>
      <c r="H220" s="119"/>
      <c r="I220" s="127"/>
      <c r="J220" s="129"/>
      <c r="K220" s="129"/>
      <c r="L220" s="130"/>
      <c r="M220" s="130"/>
      <c r="N220" s="130"/>
      <c r="O220" s="130"/>
      <c r="P220" s="129"/>
      <c r="Q220" s="127"/>
      <c r="R220" s="119"/>
      <c r="S220" s="132"/>
      <c r="T220" s="133"/>
      <c r="U220" s="134"/>
      <c r="V220" s="135"/>
      <c r="W220" s="135"/>
      <c r="X220" s="135"/>
      <c r="Y220" s="135"/>
      <c r="Z220" s="135"/>
      <c r="AA220" s="135"/>
      <c r="AB220" s="135"/>
      <c r="AC220" s="135"/>
    </row>
    <row r="221" ht="20.25" customHeight="1" outlineLevel="1">
      <c r="B221" s="125"/>
      <c r="C221" s="130"/>
      <c r="D221" s="127"/>
      <c r="E221" s="132"/>
      <c r="F221" s="128"/>
      <c r="G221" s="127"/>
      <c r="H221" s="119"/>
      <c r="I221" s="127"/>
      <c r="J221" s="129"/>
      <c r="K221" s="129"/>
      <c r="L221" s="130"/>
      <c r="M221" s="130"/>
      <c r="N221" s="130"/>
      <c r="O221" s="130"/>
      <c r="P221" s="129"/>
      <c r="Q221" s="127"/>
      <c r="R221" s="119"/>
      <c r="S221" s="132"/>
      <c r="T221" s="133"/>
      <c r="U221" s="134"/>
      <c r="V221" s="135"/>
      <c r="W221" s="135"/>
      <c r="X221" s="135"/>
      <c r="Y221" s="135"/>
      <c r="Z221" s="135"/>
      <c r="AA221" s="135"/>
      <c r="AB221" s="135"/>
      <c r="AC221" s="135"/>
    </row>
    <row r="222" ht="20.25" customHeight="1" outlineLevel="1">
      <c r="B222" s="125"/>
      <c r="C222" s="130"/>
      <c r="D222" s="127"/>
      <c r="E222" s="132"/>
      <c r="F222" s="128"/>
      <c r="G222" s="127"/>
      <c r="H222" s="119"/>
      <c r="I222" s="127"/>
      <c r="J222" s="129"/>
      <c r="K222" s="129"/>
      <c r="L222" s="130"/>
      <c r="M222" s="130"/>
      <c r="N222" s="130"/>
      <c r="O222" s="130"/>
      <c r="P222" s="129"/>
      <c r="Q222" s="127"/>
      <c r="R222" s="119"/>
      <c r="S222" s="132"/>
      <c r="T222" s="133"/>
      <c r="U222" s="134"/>
      <c r="V222" s="135"/>
      <c r="W222" s="135"/>
      <c r="X222" s="135"/>
      <c r="Y222" s="135"/>
      <c r="Z222" s="135"/>
      <c r="AA222" s="135"/>
      <c r="AB222" s="135"/>
      <c r="AC222" s="135"/>
    </row>
    <row r="223" ht="20.25" customHeight="1" outlineLevel="1">
      <c r="B223" s="125"/>
      <c r="C223" s="130"/>
      <c r="D223" s="127"/>
      <c r="E223" s="132"/>
      <c r="F223" s="128"/>
      <c r="G223" s="127"/>
      <c r="H223" s="119"/>
      <c r="I223" s="127"/>
      <c r="J223" s="129"/>
      <c r="K223" s="129"/>
      <c r="L223" s="130"/>
      <c r="M223" s="130"/>
      <c r="N223" s="130"/>
      <c r="O223" s="130"/>
      <c r="P223" s="129"/>
      <c r="Q223" s="127"/>
      <c r="R223" s="119"/>
      <c r="S223" s="132"/>
      <c r="T223" s="133"/>
      <c r="U223" s="134"/>
      <c r="V223" s="135"/>
      <c r="W223" s="135"/>
      <c r="X223" s="135"/>
      <c r="Y223" s="135"/>
      <c r="Z223" s="135"/>
      <c r="AA223" s="135"/>
      <c r="AB223" s="135"/>
      <c r="AC223" s="135"/>
    </row>
    <row r="224" ht="20.25" customHeight="1" outlineLevel="1">
      <c r="B224" s="125"/>
      <c r="C224" s="130"/>
      <c r="D224" s="127"/>
      <c r="E224" s="132"/>
      <c r="F224" s="128"/>
      <c r="G224" s="127"/>
      <c r="H224" s="119"/>
      <c r="I224" s="127"/>
      <c r="J224" s="129"/>
      <c r="K224" s="129"/>
      <c r="L224" s="130"/>
      <c r="M224" s="130"/>
      <c r="N224" s="130"/>
      <c r="O224" s="130"/>
      <c r="P224" s="129"/>
      <c r="Q224" s="127"/>
      <c r="R224" s="119"/>
      <c r="S224" s="132"/>
      <c r="T224" s="133"/>
      <c r="U224" s="134"/>
      <c r="V224" s="135"/>
      <c r="W224" s="135"/>
      <c r="X224" s="135"/>
      <c r="Y224" s="135"/>
      <c r="Z224" s="135"/>
      <c r="AA224" s="135"/>
      <c r="AB224" s="135"/>
      <c r="AC224" s="135"/>
    </row>
    <row r="225" ht="20.25" customHeight="1" outlineLevel="1">
      <c r="B225" s="125"/>
      <c r="C225" s="130"/>
      <c r="D225" s="127"/>
      <c r="E225" s="132"/>
      <c r="F225" s="128"/>
      <c r="G225" s="127"/>
      <c r="H225" s="119"/>
      <c r="I225" s="127"/>
      <c r="J225" s="129"/>
      <c r="K225" s="129"/>
      <c r="L225" s="130"/>
      <c r="M225" s="130"/>
      <c r="N225" s="130"/>
      <c r="O225" s="130"/>
      <c r="P225" s="129"/>
      <c r="Q225" s="127"/>
      <c r="R225" s="119"/>
      <c r="S225" s="132"/>
      <c r="T225" s="133"/>
      <c r="U225" s="134"/>
      <c r="V225" s="135"/>
      <c r="W225" s="135"/>
      <c r="X225" s="135"/>
      <c r="Y225" s="135"/>
      <c r="Z225" s="135"/>
      <c r="AA225" s="135"/>
      <c r="AB225" s="135"/>
      <c r="AC225" s="135"/>
    </row>
    <row r="226" ht="20.25" customHeight="1" outlineLevel="1">
      <c r="B226" s="125"/>
      <c r="C226" s="130"/>
      <c r="D226" s="127"/>
      <c r="E226" s="132"/>
      <c r="F226" s="128"/>
      <c r="G226" s="127"/>
      <c r="H226" s="119"/>
      <c r="I226" s="127"/>
      <c r="J226" s="129"/>
      <c r="K226" s="129"/>
      <c r="L226" s="130"/>
      <c r="M226" s="130"/>
      <c r="N226" s="130"/>
      <c r="O226" s="130"/>
      <c r="P226" s="129"/>
      <c r="Q226" s="127"/>
      <c r="R226" s="119"/>
      <c r="S226" s="132"/>
      <c r="T226" s="133"/>
      <c r="U226" s="134"/>
      <c r="V226" s="135"/>
      <c r="W226" s="135"/>
      <c r="X226" s="135"/>
      <c r="Y226" s="135"/>
      <c r="Z226" s="135"/>
      <c r="AA226" s="135"/>
      <c r="AB226" s="135"/>
      <c r="AC226" s="135"/>
    </row>
    <row r="227" ht="20.25" customHeight="1" outlineLevel="1">
      <c r="B227" s="125"/>
      <c r="C227" s="130"/>
      <c r="D227" s="127"/>
      <c r="E227" s="132"/>
      <c r="F227" s="128"/>
      <c r="G227" s="127"/>
      <c r="H227" s="119"/>
      <c r="I227" s="127"/>
      <c r="J227" s="129"/>
      <c r="K227" s="129"/>
      <c r="L227" s="130"/>
      <c r="M227" s="130"/>
      <c r="N227" s="130"/>
      <c r="O227" s="130"/>
      <c r="P227" s="129"/>
      <c r="Q227" s="127"/>
      <c r="R227" s="119"/>
      <c r="S227" s="132"/>
      <c r="T227" s="133"/>
      <c r="U227" s="134"/>
      <c r="V227" s="135"/>
      <c r="W227" s="135"/>
      <c r="X227" s="135"/>
      <c r="Y227" s="135"/>
      <c r="Z227" s="135"/>
      <c r="AA227" s="135"/>
      <c r="AB227" s="135"/>
      <c r="AC227" s="135"/>
    </row>
    <row r="228" ht="20.25" customHeight="1" outlineLevel="1">
      <c r="B228" s="125"/>
      <c r="C228" s="130"/>
      <c r="D228" s="127"/>
      <c r="E228" s="132"/>
      <c r="F228" s="128"/>
      <c r="G228" s="127"/>
      <c r="H228" s="119"/>
      <c r="I228" s="127"/>
      <c r="J228" s="129"/>
      <c r="K228" s="129"/>
      <c r="L228" s="130"/>
      <c r="M228" s="130"/>
      <c r="N228" s="130"/>
      <c r="O228" s="130"/>
      <c r="P228" s="129"/>
      <c r="Q228" s="127"/>
      <c r="R228" s="119"/>
      <c r="S228" s="132"/>
      <c r="T228" s="133"/>
      <c r="U228" s="134"/>
      <c r="V228" s="135"/>
      <c r="W228" s="135"/>
      <c r="X228" s="135"/>
      <c r="Y228" s="135"/>
      <c r="Z228" s="135"/>
      <c r="AA228" s="135"/>
      <c r="AB228" s="135"/>
      <c r="AC228" s="135"/>
    </row>
    <row r="229" ht="20.25" customHeight="1" outlineLevel="1">
      <c r="B229" s="125"/>
      <c r="C229" s="130"/>
      <c r="D229" s="127"/>
      <c r="E229" s="132"/>
      <c r="F229" s="128"/>
      <c r="G229" s="127"/>
      <c r="H229" s="119"/>
      <c r="I229" s="127"/>
      <c r="J229" s="129"/>
      <c r="K229" s="129"/>
      <c r="L229" s="130"/>
      <c r="M229" s="130"/>
      <c r="N229" s="130"/>
      <c r="O229" s="130"/>
      <c r="P229" s="129"/>
      <c r="Q229" s="127"/>
      <c r="R229" s="119"/>
      <c r="S229" s="132"/>
      <c r="T229" s="133"/>
      <c r="U229" s="134"/>
      <c r="V229" s="135"/>
      <c r="W229" s="135"/>
      <c r="X229" s="135"/>
      <c r="Y229" s="135"/>
      <c r="Z229" s="135"/>
      <c r="AA229" s="135"/>
      <c r="AB229" s="135"/>
      <c r="AC229" s="135"/>
    </row>
    <row r="230" ht="20.25" customHeight="1" outlineLevel="1">
      <c r="B230" s="125"/>
      <c r="C230" s="130"/>
      <c r="D230" s="127"/>
      <c r="E230" s="132"/>
      <c r="F230" s="128"/>
      <c r="G230" s="127"/>
      <c r="H230" s="119"/>
      <c r="I230" s="127"/>
      <c r="J230" s="129"/>
      <c r="K230" s="129"/>
      <c r="L230" s="130"/>
      <c r="M230" s="130"/>
      <c r="N230" s="130"/>
      <c r="O230" s="130"/>
      <c r="P230" s="129"/>
      <c r="Q230" s="127"/>
      <c r="R230" s="119"/>
      <c r="S230" s="132"/>
      <c r="T230" s="133"/>
      <c r="U230" s="134"/>
      <c r="V230" s="135"/>
      <c r="W230" s="135"/>
      <c r="X230" s="135"/>
      <c r="Y230" s="135"/>
      <c r="Z230" s="135"/>
      <c r="AA230" s="135"/>
      <c r="AB230" s="135"/>
      <c r="AC230" s="135"/>
    </row>
    <row r="231" ht="20.25" customHeight="1" outlineLevel="1">
      <c r="B231" s="125"/>
      <c r="C231" s="130"/>
      <c r="D231" s="127"/>
      <c r="E231" s="132"/>
      <c r="F231" s="128"/>
      <c r="G231" s="127"/>
      <c r="H231" s="119"/>
      <c r="I231" s="127"/>
      <c r="J231" s="129"/>
      <c r="K231" s="129"/>
      <c r="L231" s="130"/>
      <c r="M231" s="130"/>
      <c r="N231" s="130"/>
      <c r="O231" s="130"/>
      <c r="P231" s="129"/>
      <c r="Q231" s="127"/>
      <c r="R231" s="119"/>
      <c r="S231" s="132"/>
      <c r="T231" s="133"/>
      <c r="U231" s="134"/>
      <c r="V231" s="135"/>
      <c r="W231" s="135"/>
      <c r="X231" s="135"/>
      <c r="Y231" s="135"/>
      <c r="Z231" s="135"/>
      <c r="AA231" s="135"/>
      <c r="AB231" s="135"/>
      <c r="AC231" s="135"/>
    </row>
    <row r="232" ht="20.25" customHeight="1" outlineLevel="1">
      <c r="B232" s="125"/>
      <c r="C232" s="130"/>
      <c r="D232" s="127"/>
      <c r="E232" s="132"/>
      <c r="F232" s="128"/>
      <c r="G232" s="127"/>
      <c r="H232" s="119"/>
      <c r="I232" s="127"/>
      <c r="J232" s="129"/>
      <c r="K232" s="129"/>
      <c r="L232" s="130"/>
      <c r="M232" s="130"/>
      <c r="N232" s="130"/>
      <c r="O232" s="130"/>
      <c r="P232" s="129"/>
      <c r="Q232" s="127"/>
      <c r="R232" s="119"/>
      <c r="S232" s="132"/>
      <c r="T232" s="133"/>
      <c r="U232" s="134"/>
      <c r="V232" s="135"/>
      <c r="W232" s="135"/>
      <c r="X232" s="135"/>
      <c r="Y232" s="135"/>
      <c r="Z232" s="135"/>
      <c r="AA232" s="135"/>
      <c r="AB232" s="135"/>
      <c r="AC232" s="135"/>
    </row>
    <row r="233" ht="20.25" customHeight="1" outlineLevel="1">
      <c r="B233" s="125"/>
      <c r="C233" s="130"/>
      <c r="D233" s="127"/>
      <c r="E233" s="132"/>
      <c r="F233" s="128"/>
      <c r="G233" s="127"/>
      <c r="H233" s="119"/>
      <c r="I233" s="127"/>
      <c r="J233" s="129"/>
      <c r="K233" s="129"/>
      <c r="L233" s="130"/>
      <c r="M233" s="130"/>
      <c r="N233" s="130"/>
      <c r="O233" s="130"/>
      <c r="P233" s="129"/>
      <c r="Q233" s="127"/>
      <c r="R233" s="119"/>
      <c r="S233" s="132"/>
      <c r="T233" s="133"/>
      <c r="U233" s="134"/>
      <c r="V233" s="135"/>
      <c r="W233" s="135"/>
      <c r="X233" s="135"/>
      <c r="Y233" s="135"/>
      <c r="Z233" s="135"/>
      <c r="AA233" s="135"/>
      <c r="AB233" s="135"/>
      <c r="AC233" s="135"/>
    </row>
    <row r="234" ht="20.25" customHeight="1" outlineLevel="1">
      <c r="B234" s="125"/>
      <c r="C234" s="130"/>
      <c r="D234" s="127"/>
      <c r="E234" s="132"/>
      <c r="F234" s="128"/>
      <c r="G234" s="127"/>
      <c r="H234" s="119"/>
      <c r="I234" s="127"/>
      <c r="J234" s="129"/>
      <c r="K234" s="129"/>
      <c r="L234" s="130"/>
      <c r="M234" s="130"/>
      <c r="N234" s="130"/>
      <c r="O234" s="130"/>
      <c r="P234" s="129"/>
      <c r="Q234" s="127"/>
      <c r="R234" s="119"/>
      <c r="S234" s="132"/>
      <c r="T234" s="133"/>
      <c r="U234" s="134"/>
      <c r="V234" s="135"/>
      <c r="W234" s="135"/>
      <c r="X234" s="135"/>
      <c r="Y234" s="135"/>
      <c r="Z234" s="135"/>
      <c r="AA234" s="135"/>
      <c r="AB234" s="135"/>
      <c r="AC234" s="135"/>
    </row>
    <row r="235" ht="20.25" customHeight="1" outlineLevel="1">
      <c r="B235" s="125"/>
      <c r="C235" s="130"/>
      <c r="D235" s="127"/>
      <c r="E235" s="132"/>
      <c r="F235" s="128"/>
      <c r="G235" s="127"/>
      <c r="H235" s="119"/>
      <c r="I235" s="127"/>
      <c r="J235" s="129"/>
      <c r="K235" s="129"/>
      <c r="L235" s="130"/>
      <c r="M235" s="130"/>
      <c r="N235" s="130"/>
      <c r="O235" s="130"/>
      <c r="P235" s="129"/>
      <c r="Q235" s="127"/>
      <c r="R235" s="119"/>
      <c r="S235" s="132"/>
      <c r="T235" s="133"/>
      <c r="U235" s="134"/>
      <c r="V235" s="135"/>
      <c r="W235" s="135"/>
      <c r="X235" s="135"/>
      <c r="Y235" s="135"/>
      <c r="Z235" s="135"/>
      <c r="AA235" s="135"/>
      <c r="AB235" s="135"/>
      <c r="AC235" s="135"/>
    </row>
    <row r="236" ht="20.25" customHeight="1" outlineLevel="1">
      <c r="B236" s="125"/>
      <c r="C236" s="130"/>
      <c r="D236" s="127"/>
      <c r="E236" s="132"/>
      <c r="F236" s="128"/>
      <c r="G236" s="127"/>
      <c r="H236" s="119"/>
      <c r="I236" s="127"/>
      <c r="J236" s="129"/>
      <c r="K236" s="129"/>
      <c r="L236" s="130"/>
      <c r="M236" s="130"/>
      <c r="N236" s="130"/>
      <c r="O236" s="130"/>
      <c r="P236" s="129"/>
      <c r="Q236" s="127"/>
      <c r="R236" s="119"/>
      <c r="S236" s="132"/>
      <c r="T236" s="133"/>
      <c r="U236" s="134"/>
      <c r="V236" s="135"/>
      <c r="W236" s="135"/>
      <c r="X236" s="135"/>
      <c r="Y236" s="135"/>
      <c r="Z236" s="135"/>
      <c r="AA236" s="135"/>
      <c r="AB236" s="135"/>
      <c r="AC236" s="135"/>
    </row>
    <row r="237" ht="20.25" customHeight="1" outlineLevel="1">
      <c r="B237" s="125"/>
      <c r="C237" s="130"/>
      <c r="D237" s="127"/>
      <c r="E237" s="132"/>
      <c r="F237" s="128"/>
      <c r="G237" s="127"/>
      <c r="H237" s="119"/>
      <c r="I237" s="127"/>
      <c r="J237" s="129"/>
      <c r="K237" s="129"/>
      <c r="L237" s="130"/>
      <c r="M237" s="130"/>
      <c r="N237" s="130"/>
      <c r="O237" s="130"/>
      <c r="P237" s="129"/>
      <c r="Q237" s="127"/>
      <c r="R237" s="119"/>
      <c r="S237" s="132"/>
      <c r="T237" s="133"/>
      <c r="U237" s="134"/>
      <c r="V237" s="135"/>
      <c r="W237" s="135"/>
      <c r="X237" s="135"/>
      <c r="Y237" s="135"/>
      <c r="Z237" s="135"/>
      <c r="AA237" s="135"/>
      <c r="AB237" s="135"/>
      <c r="AC237" s="135"/>
    </row>
    <row r="238" ht="20.25" customHeight="1" outlineLevel="1">
      <c r="B238" s="125"/>
      <c r="C238" s="130"/>
      <c r="D238" s="127"/>
      <c r="E238" s="132"/>
      <c r="F238" s="128"/>
      <c r="G238" s="127"/>
      <c r="H238" s="119"/>
      <c r="I238" s="127"/>
      <c r="J238" s="129"/>
      <c r="K238" s="129"/>
      <c r="L238" s="130"/>
      <c r="M238" s="130"/>
      <c r="N238" s="130"/>
      <c r="O238" s="130"/>
      <c r="P238" s="129"/>
      <c r="Q238" s="127"/>
      <c r="R238" s="119"/>
      <c r="S238" s="132"/>
      <c r="T238" s="133"/>
      <c r="U238" s="134"/>
      <c r="V238" s="135"/>
      <c r="W238" s="135"/>
      <c r="X238" s="135"/>
      <c r="Y238" s="135"/>
      <c r="Z238" s="135"/>
      <c r="AA238" s="135"/>
      <c r="AB238" s="135"/>
      <c r="AC238" s="135"/>
    </row>
    <row r="239" ht="20.25" customHeight="1" outlineLevel="1">
      <c r="B239" s="125"/>
      <c r="C239" s="130"/>
      <c r="D239" s="127"/>
      <c r="E239" s="132"/>
      <c r="F239" s="128"/>
      <c r="G239" s="127"/>
      <c r="H239" s="119"/>
      <c r="I239" s="127"/>
      <c r="J239" s="129"/>
      <c r="K239" s="129"/>
      <c r="L239" s="130"/>
      <c r="M239" s="130"/>
      <c r="N239" s="130"/>
      <c r="O239" s="130"/>
      <c r="P239" s="129"/>
      <c r="Q239" s="127"/>
      <c r="R239" s="119"/>
      <c r="S239" s="132"/>
      <c r="T239" s="133"/>
      <c r="U239" s="134"/>
      <c r="V239" s="135"/>
      <c r="W239" s="135"/>
      <c r="X239" s="135"/>
      <c r="Y239" s="135"/>
      <c r="Z239" s="135"/>
      <c r="AA239" s="135"/>
      <c r="AB239" s="135"/>
      <c r="AC239" s="135"/>
    </row>
    <row r="240" ht="20.25" customHeight="1" outlineLevel="1">
      <c r="B240" s="125"/>
      <c r="C240" s="130"/>
      <c r="D240" s="127"/>
      <c r="E240" s="132"/>
      <c r="F240" s="128"/>
      <c r="G240" s="127"/>
      <c r="H240" s="119"/>
      <c r="I240" s="127"/>
      <c r="J240" s="129"/>
      <c r="K240" s="129"/>
      <c r="L240" s="130"/>
      <c r="M240" s="130"/>
      <c r="N240" s="130"/>
      <c r="O240" s="130"/>
      <c r="P240" s="129"/>
      <c r="Q240" s="127"/>
      <c r="R240" s="119"/>
      <c r="S240" s="132"/>
      <c r="T240" s="133"/>
      <c r="U240" s="134"/>
      <c r="V240" s="135"/>
      <c r="W240" s="135"/>
      <c r="X240" s="135"/>
      <c r="Y240" s="135"/>
      <c r="Z240" s="135"/>
      <c r="AA240" s="135"/>
      <c r="AB240" s="135"/>
      <c r="AC240" s="135"/>
    </row>
    <row r="241" ht="20.25" customHeight="1" outlineLevel="1">
      <c r="B241" s="125"/>
      <c r="C241" s="130"/>
      <c r="D241" s="127"/>
      <c r="E241" s="132"/>
      <c r="F241" s="128"/>
      <c r="G241" s="127"/>
      <c r="H241" s="119"/>
      <c r="I241" s="127"/>
      <c r="J241" s="129"/>
      <c r="K241" s="129"/>
      <c r="L241" s="130"/>
      <c r="M241" s="130"/>
      <c r="N241" s="130"/>
      <c r="O241" s="130"/>
      <c r="P241" s="129"/>
      <c r="Q241" s="127"/>
      <c r="R241" s="119"/>
      <c r="S241" s="132"/>
      <c r="T241" s="133"/>
      <c r="U241" s="134"/>
      <c r="V241" s="135"/>
      <c r="W241" s="135"/>
      <c r="X241" s="135"/>
      <c r="Y241" s="135"/>
      <c r="Z241" s="135"/>
      <c r="AA241" s="135"/>
      <c r="AB241" s="135"/>
      <c r="AC241" s="135"/>
    </row>
    <row r="242" ht="20.25" customHeight="1" outlineLevel="1">
      <c r="B242" s="125"/>
      <c r="C242" s="130"/>
      <c r="D242" s="127"/>
      <c r="E242" s="132"/>
      <c r="F242" s="128"/>
      <c r="G242" s="127"/>
      <c r="H242" s="119"/>
      <c r="I242" s="127"/>
      <c r="J242" s="129"/>
      <c r="K242" s="129"/>
      <c r="L242" s="130"/>
      <c r="M242" s="130"/>
      <c r="N242" s="130"/>
      <c r="O242" s="130"/>
      <c r="P242" s="129"/>
      <c r="Q242" s="127"/>
      <c r="R242" s="119"/>
      <c r="S242" s="132"/>
      <c r="T242" s="133"/>
      <c r="U242" s="134"/>
      <c r="V242" s="135"/>
      <c r="W242" s="135"/>
      <c r="X242" s="135"/>
      <c r="Y242" s="135"/>
      <c r="Z242" s="135"/>
      <c r="AA242" s="135"/>
      <c r="AB242" s="135"/>
      <c r="AC242" s="135"/>
    </row>
    <row r="243" ht="20.25" customHeight="1" outlineLevel="1">
      <c r="B243" s="125"/>
      <c r="C243" s="130"/>
      <c r="D243" s="127"/>
      <c r="E243" s="132"/>
      <c r="F243" s="128"/>
      <c r="G243" s="127"/>
      <c r="H243" s="119"/>
      <c r="I243" s="127"/>
      <c r="J243" s="129"/>
      <c r="K243" s="129"/>
      <c r="L243" s="130"/>
      <c r="M243" s="130"/>
      <c r="N243" s="130"/>
      <c r="O243" s="130"/>
      <c r="P243" s="129"/>
      <c r="Q243" s="127"/>
      <c r="R243" s="119"/>
      <c r="S243" s="132"/>
      <c r="T243" s="133"/>
      <c r="U243" s="134"/>
      <c r="V243" s="135"/>
      <c r="W243" s="135"/>
      <c r="X243" s="135"/>
      <c r="Y243" s="135"/>
      <c r="Z243" s="135"/>
      <c r="AA243" s="135"/>
      <c r="AB243" s="135"/>
      <c r="AC243" s="135"/>
    </row>
    <row r="244" ht="20.25" customHeight="1" outlineLevel="1">
      <c r="B244" s="125"/>
      <c r="C244" s="130"/>
      <c r="D244" s="127"/>
      <c r="E244" s="132"/>
      <c r="F244" s="128"/>
      <c r="G244" s="127"/>
      <c r="H244" s="119"/>
      <c r="I244" s="127"/>
      <c r="J244" s="129"/>
      <c r="K244" s="129"/>
      <c r="L244" s="130"/>
      <c r="M244" s="130"/>
      <c r="N244" s="130"/>
      <c r="O244" s="130"/>
      <c r="P244" s="129"/>
      <c r="Q244" s="127"/>
      <c r="R244" s="119"/>
      <c r="S244" s="132"/>
      <c r="T244" s="133"/>
      <c r="U244" s="134"/>
      <c r="V244" s="135"/>
      <c r="W244" s="135"/>
      <c r="X244" s="135"/>
      <c r="Y244" s="135"/>
      <c r="Z244" s="135"/>
      <c r="AA244" s="135"/>
      <c r="AB244" s="135"/>
      <c r="AC244" s="135"/>
    </row>
    <row r="245" ht="20.25" customHeight="1" outlineLevel="1">
      <c r="B245" s="125"/>
      <c r="C245" s="130"/>
      <c r="D245" s="127"/>
      <c r="E245" s="132"/>
      <c r="F245" s="128"/>
      <c r="G245" s="127"/>
      <c r="H245" s="119"/>
      <c r="I245" s="127"/>
      <c r="J245" s="129"/>
      <c r="K245" s="129"/>
      <c r="L245" s="130"/>
      <c r="M245" s="130"/>
      <c r="N245" s="130"/>
      <c r="O245" s="130"/>
      <c r="P245" s="129"/>
      <c r="Q245" s="127"/>
      <c r="R245" s="119"/>
      <c r="S245" s="132"/>
      <c r="T245" s="133"/>
      <c r="U245" s="134"/>
      <c r="V245" s="135"/>
      <c r="W245" s="135"/>
      <c r="X245" s="135"/>
      <c r="Y245" s="135"/>
      <c r="Z245" s="135"/>
      <c r="AA245" s="135"/>
      <c r="AB245" s="135"/>
      <c r="AC245" s="135"/>
    </row>
    <row r="246" ht="20.25" customHeight="1" outlineLevel="1">
      <c r="B246" s="125"/>
      <c r="C246" s="130"/>
      <c r="D246" s="127"/>
      <c r="E246" s="132"/>
      <c r="F246" s="128"/>
      <c r="G246" s="127"/>
      <c r="H246" s="119"/>
      <c r="I246" s="127"/>
      <c r="J246" s="129"/>
      <c r="K246" s="129"/>
      <c r="L246" s="130"/>
      <c r="M246" s="130"/>
      <c r="N246" s="130"/>
      <c r="O246" s="130"/>
      <c r="P246" s="129"/>
      <c r="Q246" s="127"/>
      <c r="R246" s="119"/>
      <c r="S246" s="132"/>
      <c r="T246" s="133"/>
      <c r="U246" s="134"/>
      <c r="V246" s="135"/>
      <c r="W246" s="135"/>
      <c r="X246" s="135"/>
      <c r="Y246" s="135"/>
      <c r="Z246" s="135"/>
      <c r="AA246" s="135"/>
      <c r="AB246" s="135"/>
      <c r="AC246" s="135"/>
    </row>
    <row r="247" ht="20.25" customHeight="1" outlineLevel="1">
      <c r="B247" s="125"/>
      <c r="C247" s="130"/>
      <c r="D247" s="127"/>
      <c r="E247" s="132"/>
      <c r="F247" s="128"/>
      <c r="G247" s="127"/>
      <c r="H247" s="119"/>
      <c r="I247" s="127"/>
      <c r="J247" s="129"/>
      <c r="K247" s="129"/>
      <c r="L247" s="130"/>
      <c r="M247" s="130"/>
      <c r="N247" s="130"/>
      <c r="O247" s="130"/>
      <c r="P247" s="129"/>
      <c r="Q247" s="127"/>
      <c r="R247" s="119"/>
      <c r="S247" s="132"/>
      <c r="T247" s="133"/>
      <c r="U247" s="134"/>
      <c r="V247" s="135"/>
      <c r="W247" s="135"/>
      <c r="X247" s="135"/>
      <c r="Y247" s="135"/>
      <c r="Z247" s="135"/>
      <c r="AA247" s="135"/>
      <c r="AB247" s="135"/>
      <c r="AC247" s="135"/>
    </row>
    <row r="248" ht="20.25" customHeight="1" outlineLevel="1">
      <c r="B248" s="125"/>
      <c r="C248" s="130"/>
      <c r="D248" s="127"/>
      <c r="E248" s="132"/>
      <c r="F248" s="128"/>
      <c r="G248" s="127"/>
      <c r="H248" s="119"/>
      <c r="I248" s="127"/>
      <c r="J248" s="129"/>
      <c r="K248" s="129"/>
      <c r="L248" s="130"/>
      <c r="M248" s="130"/>
      <c r="N248" s="130"/>
      <c r="O248" s="130"/>
      <c r="P248" s="129"/>
      <c r="Q248" s="127"/>
      <c r="R248" s="119"/>
      <c r="S248" s="132"/>
      <c r="T248" s="133"/>
      <c r="U248" s="134"/>
      <c r="V248" s="135"/>
      <c r="W248" s="135"/>
      <c r="X248" s="135"/>
      <c r="Y248" s="135"/>
      <c r="Z248" s="135"/>
      <c r="AA248" s="135"/>
      <c r="AB248" s="135"/>
      <c r="AC248" s="135"/>
    </row>
    <row r="249" ht="20.25" customHeight="1" outlineLevel="1">
      <c r="B249" s="125"/>
      <c r="C249" s="130"/>
      <c r="D249" s="127"/>
      <c r="E249" s="132"/>
      <c r="F249" s="128"/>
      <c r="G249" s="127"/>
      <c r="H249" s="119"/>
      <c r="I249" s="127"/>
      <c r="J249" s="129"/>
      <c r="K249" s="129"/>
      <c r="L249" s="130"/>
      <c r="M249" s="130"/>
      <c r="N249" s="130"/>
      <c r="O249" s="130"/>
      <c r="P249" s="129"/>
      <c r="Q249" s="127"/>
      <c r="R249" s="119"/>
      <c r="S249" s="132"/>
      <c r="T249" s="133"/>
      <c r="U249" s="134"/>
      <c r="V249" s="135"/>
      <c r="W249" s="135"/>
      <c r="X249" s="135"/>
      <c r="Y249" s="135"/>
      <c r="Z249" s="135"/>
      <c r="AA249" s="135"/>
      <c r="AB249" s="135"/>
      <c r="AC249" s="135"/>
    </row>
    <row r="250" ht="20.25" customHeight="1" outlineLevel="1">
      <c r="B250" s="125"/>
      <c r="C250" s="130"/>
      <c r="D250" s="127"/>
      <c r="E250" s="132"/>
      <c r="F250" s="128"/>
      <c r="G250" s="127"/>
      <c r="H250" s="119"/>
      <c r="I250" s="127"/>
      <c r="J250" s="129"/>
      <c r="K250" s="129"/>
      <c r="L250" s="130"/>
      <c r="M250" s="130"/>
      <c r="N250" s="130"/>
      <c r="O250" s="130"/>
      <c r="P250" s="129"/>
      <c r="Q250" s="127"/>
      <c r="R250" s="119"/>
      <c r="S250" s="132"/>
      <c r="T250" s="133"/>
      <c r="U250" s="134"/>
      <c r="V250" s="135"/>
      <c r="W250" s="135"/>
      <c r="X250" s="135"/>
      <c r="Y250" s="135"/>
      <c r="Z250" s="135"/>
      <c r="AA250" s="135"/>
      <c r="AB250" s="135"/>
      <c r="AC250" s="135"/>
    </row>
    <row r="251" ht="20.25" customHeight="1" outlineLevel="1">
      <c r="B251" s="125"/>
      <c r="C251" s="130"/>
      <c r="D251" s="127"/>
      <c r="E251" s="132"/>
      <c r="F251" s="128"/>
      <c r="G251" s="127"/>
      <c r="H251" s="119"/>
      <c r="I251" s="127"/>
      <c r="J251" s="129"/>
      <c r="K251" s="129"/>
      <c r="L251" s="130"/>
      <c r="M251" s="130"/>
      <c r="N251" s="130"/>
      <c r="O251" s="130"/>
      <c r="P251" s="129"/>
      <c r="Q251" s="127"/>
      <c r="R251" s="119"/>
      <c r="S251" s="132"/>
      <c r="T251" s="133"/>
      <c r="U251" s="134"/>
      <c r="V251" s="135"/>
      <c r="W251" s="135"/>
      <c r="X251" s="135"/>
      <c r="Y251" s="135"/>
      <c r="Z251" s="135"/>
      <c r="AA251" s="135"/>
      <c r="AB251" s="135"/>
      <c r="AC251" s="135"/>
    </row>
    <row r="252" ht="20.25" customHeight="1" outlineLevel="1">
      <c r="B252" s="125"/>
      <c r="C252" s="130"/>
      <c r="D252" s="127"/>
      <c r="E252" s="132"/>
      <c r="F252" s="128"/>
      <c r="G252" s="127"/>
      <c r="H252" s="119"/>
      <c r="I252" s="127"/>
      <c r="J252" s="129"/>
      <c r="K252" s="129"/>
      <c r="L252" s="130"/>
      <c r="M252" s="130"/>
      <c r="N252" s="130"/>
      <c r="O252" s="130"/>
      <c r="P252" s="129"/>
      <c r="Q252" s="127"/>
      <c r="R252" s="119"/>
      <c r="S252" s="132"/>
      <c r="T252" s="133"/>
      <c r="U252" s="134"/>
      <c r="V252" s="135"/>
      <c r="W252" s="135"/>
      <c r="X252" s="135"/>
      <c r="Y252" s="135"/>
      <c r="Z252" s="135"/>
      <c r="AA252" s="135"/>
      <c r="AB252" s="135"/>
      <c r="AC252" s="135"/>
    </row>
    <row r="253" ht="20.25" customHeight="1" outlineLevel="1">
      <c r="B253" s="125"/>
      <c r="C253" s="130"/>
      <c r="D253" s="127"/>
      <c r="E253" s="132"/>
      <c r="F253" s="128"/>
      <c r="G253" s="127"/>
      <c r="H253" s="119"/>
      <c r="I253" s="127"/>
      <c r="J253" s="129"/>
      <c r="K253" s="129"/>
      <c r="L253" s="130"/>
      <c r="M253" s="130"/>
      <c r="N253" s="130"/>
      <c r="O253" s="130"/>
      <c r="P253" s="129"/>
      <c r="Q253" s="127"/>
      <c r="R253" s="119"/>
      <c r="S253" s="132"/>
      <c r="T253" s="133"/>
      <c r="U253" s="134"/>
      <c r="V253" s="135"/>
      <c r="W253" s="135"/>
      <c r="X253" s="135"/>
      <c r="Y253" s="135"/>
      <c r="Z253" s="135"/>
      <c r="AA253" s="135"/>
      <c r="AB253" s="135"/>
      <c r="AC253" s="135"/>
    </row>
    <row r="254" ht="20.25" customHeight="1" outlineLevel="1">
      <c r="B254" s="125"/>
      <c r="C254" s="130"/>
      <c r="D254" s="127"/>
      <c r="E254" s="132"/>
      <c r="F254" s="128"/>
      <c r="G254" s="127"/>
      <c r="H254" s="119"/>
      <c r="I254" s="127"/>
      <c r="J254" s="129"/>
      <c r="K254" s="129"/>
      <c r="L254" s="130"/>
      <c r="M254" s="130"/>
      <c r="N254" s="130"/>
      <c r="O254" s="130"/>
      <c r="P254" s="129"/>
      <c r="Q254" s="127"/>
      <c r="R254" s="119"/>
      <c r="S254" s="132"/>
      <c r="T254" s="133"/>
      <c r="U254" s="134"/>
      <c r="V254" s="135"/>
      <c r="W254" s="135"/>
      <c r="X254" s="135"/>
      <c r="Y254" s="135"/>
      <c r="Z254" s="135"/>
      <c r="AA254" s="135"/>
      <c r="AB254" s="135"/>
      <c r="AC254" s="135"/>
    </row>
    <row r="255" ht="20.25" customHeight="1" outlineLevel="1">
      <c r="B255" s="125"/>
      <c r="C255" s="130"/>
      <c r="D255" s="127"/>
      <c r="E255" s="132"/>
      <c r="F255" s="128"/>
      <c r="G255" s="127"/>
      <c r="H255" s="119"/>
      <c r="I255" s="127"/>
      <c r="J255" s="129"/>
      <c r="K255" s="129"/>
      <c r="L255" s="130"/>
      <c r="M255" s="130"/>
      <c r="N255" s="130"/>
      <c r="O255" s="130"/>
      <c r="P255" s="129"/>
      <c r="Q255" s="127"/>
      <c r="R255" s="119"/>
      <c r="S255" s="132"/>
      <c r="T255" s="133"/>
      <c r="U255" s="134"/>
      <c r="V255" s="135"/>
      <c r="W255" s="135"/>
      <c r="X255" s="135"/>
      <c r="Y255" s="135"/>
      <c r="Z255" s="135"/>
      <c r="AA255" s="135"/>
      <c r="AB255" s="135"/>
      <c r="AC255" s="135"/>
    </row>
    <row r="256" ht="20.25" customHeight="1" outlineLevel="1">
      <c r="B256" s="125"/>
      <c r="C256" s="130"/>
      <c r="D256" s="127"/>
      <c r="E256" s="132"/>
      <c r="F256" s="128"/>
      <c r="G256" s="127"/>
      <c r="H256" s="119"/>
      <c r="I256" s="127"/>
      <c r="J256" s="129"/>
      <c r="K256" s="129"/>
      <c r="L256" s="130"/>
      <c r="M256" s="130"/>
      <c r="N256" s="130"/>
      <c r="O256" s="130"/>
      <c r="P256" s="129"/>
      <c r="Q256" s="127"/>
      <c r="R256" s="119"/>
      <c r="S256" s="132"/>
      <c r="T256" s="133"/>
      <c r="U256" s="134"/>
      <c r="V256" s="135"/>
      <c r="W256" s="135"/>
      <c r="X256" s="135"/>
      <c r="Y256" s="135"/>
      <c r="Z256" s="135"/>
      <c r="AA256" s="135"/>
      <c r="AB256" s="135"/>
      <c r="AC256" s="135"/>
    </row>
    <row r="257" ht="20.25" customHeight="1" outlineLevel="1">
      <c r="B257" s="125"/>
      <c r="C257" s="130"/>
      <c r="D257" s="127"/>
      <c r="E257" s="132"/>
      <c r="F257" s="128"/>
      <c r="G257" s="127"/>
      <c r="H257" s="119"/>
      <c r="I257" s="127"/>
      <c r="J257" s="129"/>
      <c r="K257" s="129"/>
      <c r="L257" s="130"/>
      <c r="M257" s="130"/>
      <c r="N257" s="130"/>
      <c r="O257" s="130"/>
      <c r="P257" s="129"/>
      <c r="Q257" s="127"/>
      <c r="R257" s="119"/>
      <c r="S257" s="132"/>
      <c r="T257" s="133"/>
      <c r="U257" s="134"/>
      <c r="V257" s="135"/>
      <c r="W257" s="135"/>
      <c r="X257" s="135"/>
      <c r="Y257" s="135"/>
      <c r="Z257" s="135"/>
      <c r="AA257" s="135"/>
      <c r="AB257" s="135"/>
      <c r="AC257" s="135"/>
    </row>
    <row r="258" ht="20.25" customHeight="1" outlineLevel="1">
      <c r="B258" s="125"/>
      <c r="C258" s="130"/>
      <c r="D258" s="127"/>
      <c r="E258" s="132"/>
      <c r="F258" s="128"/>
      <c r="G258" s="127"/>
      <c r="H258" s="119"/>
      <c r="I258" s="127"/>
      <c r="J258" s="129"/>
      <c r="K258" s="129"/>
      <c r="L258" s="130"/>
      <c r="M258" s="130"/>
      <c r="N258" s="130"/>
      <c r="O258" s="130"/>
      <c r="P258" s="129"/>
      <c r="Q258" s="127"/>
      <c r="R258" s="119"/>
      <c r="S258" s="132"/>
      <c r="T258" s="133"/>
      <c r="U258" s="134"/>
      <c r="V258" s="135"/>
      <c r="W258" s="135"/>
      <c r="X258" s="135"/>
      <c r="Y258" s="135"/>
      <c r="Z258" s="135"/>
      <c r="AA258" s="135"/>
      <c r="AB258" s="135"/>
      <c r="AC258" s="135"/>
    </row>
    <row r="259" ht="20.25" customHeight="1" outlineLevel="1">
      <c r="B259" s="125"/>
      <c r="C259" s="130"/>
      <c r="D259" s="127"/>
      <c r="E259" s="132"/>
      <c r="F259" s="128"/>
      <c r="G259" s="127"/>
      <c r="H259" s="119"/>
      <c r="I259" s="127"/>
      <c r="J259" s="129"/>
      <c r="K259" s="129"/>
      <c r="L259" s="130"/>
      <c r="M259" s="130"/>
      <c r="N259" s="130"/>
      <c r="O259" s="130"/>
      <c r="P259" s="129"/>
      <c r="Q259" s="127"/>
      <c r="R259" s="119"/>
      <c r="S259" s="132"/>
      <c r="T259" s="133"/>
      <c r="U259" s="134"/>
      <c r="V259" s="135"/>
      <c r="W259" s="135"/>
      <c r="X259" s="135"/>
      <c r="Y259" s="135"/>
      <c r="Z259" s="135"/>
      <c r="AA259" s="135"/>
      <c r="AB259" s="135"/>
      <c r="AC259" s="135"/>
    </row>
    <row r="260" ht="20.25" customHeight="1" outlineLevel="1">
      <c r="B260" s="125"/>
      <c r="C260" s="130"/>
      <c r="D260" s="127"/>
      <c r="E260" s="132"/>
      <c r="F260" s="128"/>
      <c r="G260" s="127"/>
      <c r="H260" s="119"/>
      <c r="I260" s="127"/>
      <c r="J260" s="129"/>
      <c r="K260" s="129"/>
      <c r="L260" s="130"/>
      <c r="M260" s="130"/>
      <c r="N260" s="130"/>
      <c r="O260" s="130"/>
      <c r="P260" s="129"/>
      <c r="Q260" s="127"/>
      <c r="R260" s="119"/>
      <c r="S260" s="132"/>
      <c r="T260" s="133"/>
      <c r="U260" s="134"/>
      <c r="V260" s="135"/>
      <c r="W260" s="135"/>
      <c r="X260" s="135"/>
      <c r="Y260" s="135"/>
      <c r="Z260" s="135"/>
      <c r="AA260" s="135"/>
      <c r="AB260" s="135"/>
      <c r="AC260" s="135"/>
    </row>
    <row r="261" ht="20.25" customHeight="1" outlineLevel="1">
      <c r="B261" s="125"/>
      <c r="C261" s="130"/>
      <c r="D261" s="127"/>
      <c r="E261" s="132"/>
      <c r="F261" s="128"/>
      <c r="G261" s="127"/>
      <c r="H261" s="119"/>
      <c r="I261" s="127"/>
      <c r="J261" s="129"/>
      <c r="K261" s="129"/>
      <c r="L261" s="130"/>
      <c r="M261" s="130"/>
      <c r="N261" s="130"/>
      <c r="O261" s="130"/>
      <c r="P261" s="129"/>
      <c r="Q261" s="127"/>
      <c r="R261" s="119"/>
      <c r="S261" s="132"/>
      <c r="T261" s="133"/>
      <c r="U261" s="134"/>
      <c r="V261" s="135"/>
      <c r="W261" s="135"/>
      <c r="X261" s="135"/>
      <c r="Y261" s="135"/>
      <c r="Z261" s="135"/>
      <c r="AA261" s="135"/>
      <c r="AB261" s="135"/>
      <c r="AC261" s="135"/>
    </row>
    <row r="262" ht="20.25" customHeight="1" outlineLevel="1">
      <c r="B262" s="125"/>
      <c r="C262" s="130"/>
      <c r="D262" s="127"/>
      <c r="E262" s="132"/>
      <c r="F262" s="128"/>
      <c r="G262" s="127"/>
      <c r="H262" s="119"/>
      <c r="I262" s="127"/>
      <c r="J262" s="129"/>
      <c r="K262" s="129"/>
      <c r="L262" s="130"/>
      <c r="M262" s="130"/>
      <c r="N262" s="130"/>
      <c r="O262" s="130"/>
      <c r="P262" s="129"/>
      <c r="Q262" s="127"/>
      <c r="R262" s="119"/>
      <c r="S262" s="132"/>
      <c r="T262" s="133"/>
      <c r="U262" s="134"/>
      <c r="V262" s="135"/>
      <c r="W262" s="135"/>
      <c r="X262" s="135"/>
      <c r="Y262" s="135"/>
      <c r="Z262" s="135"/>
      <c r="AA262" s="135"/>
      <c r="AB262" s="135"/>
      <c r="AC262" s="135"/>
    </row>
    <row r="263" ht="20.25" customHeight="1" outlineLevel="1">
      <c r="B263" s="125"/>
      <c r="C263" s="130"/>
      <c r="D263" s="127"/>
      <c r="E263" s="132"/>
      <c r="F263" s="128"/>
      <c r="G263" s="127"/>
      <c r="H263" s="119"/>
      <c r="I263" s="127"/>
      <c r="J263" s="129"/>
      <c r="K263" s="129"/>
      <c r="L263" s="130"/>
      <c r="M263" s="130"/>
      <c r="N263" s="130"/>
      <c r="O263" s="130"/>
      <c r="P263" s="129"/>
      <c r="Q263" s="127"/>
      <c r="R263" s="119"/>
      <c r="S263" s="132"/>
      <c r="T263" s="133"/>
      <c r="U263" s="134"/>
      <c r="V263" s="135"/>
      <c r="W263" s="135"/>
      <c r="X263" s="135"/>
      <c r="Y263" s="135"/>
      <c r="Z263" s="135"/>
      <c r="AA263" s="135"/>
      <c r="AB263" s="135"/>
      <c r="AC263" s="135"/>
    </row>
    <row r="264" ht="20.25" customHeight="1" outlineLevel="1">
      <c r="B264" s="125"/>
      <c r="C264" s="130"/>
      <c r="D264" s="127"/>
      <c r="E264" s="132"/>
      <c r="F264" s="128"/>
      <c r="G264" s="127"/>
      <c r="H264" s="119"/>
      <c r="I264" s="127"/>
      <c r="J264" s="129"/>
      <c r="K264" s="129"/>
      <c r="L264" s="130"/>
      <c r="M264" s="130"/>
      <c r="N264" s="130"/>
      <c r="O264" s="130"/>
      <c r="P264" s="129"/>
      <c r="Q264" s="127"/>
      <c r="R264" s="119"/>
      <c r="S264" s="132"/>
      <c r="T264" s="133"/>
      <c r="U264" s="134"/>
      <c r="V264" s="135"/>
      <c r="W264" s="135"/>
      <c r="X264" s="135"/>
      <c r="Y264" s="135"/>
      <c r="Z264" s="135"/>
      <c r="AA264" s="135"/>
      <c r="AB264" s="135"/>
      <c r="AC264" s="135"/>
    </row>
    <row r="265" ht="20.25" customHeight="1" outlineLevel="1">
      <c r="B265" s="125"/>
      <c r="C265" s="130"/>
      <c r="D265" s="127"/>
      <c r="E265" s="132"/>
      <c r="F265" s="128"/>
      <c r="G265" s="127"/>
      <c r="H265" s="119"/>
      <c r="I265" s="127"/>
      <c r="J265" s="129"/>
      <c r="K265" s="129"/>
      <c r="L265" s="130"/>
      <c r="M265" s="130"/>
      <c r="N265" s="130"/>
      <c r="O265" s="130"/>
      <c r="P265" s="129"/>
      <c r="Q265" s="127"/>
      <c r="R265" s="119"/>
      <c r="S265" s="132"/>
      <c r="T265" s="133"/>
      <c r="U265" s="134"/>
      <c r="V265" s="135"/>
      <c r="W265" s="135"/>
      <c r="X265" s="135"/>
      <c r="Y265" s="135"/>
      <c r="Z265" s="135"/>
      <c r="AA265" s="135"/>
      <c r="AB265" s="135"/>
      <c r="AC265" s="135"/>
    </row>
    <row r="266" ht="20.25" customHeight="1" outlineLevel="1">
      <c r="B266" s="125"/>
      <c r="C266" s="130"/>
      <c r="D266" s="127"/>
      <c r="E266" s="132"/>
      <c r="F266" s="128"/>
      <c r="G266" s="127"/>
      <c r="H266" s="119"/>
      <c r="I266" s="127"/>
      <c r="J266" s="129"/>
      <c r="K266" s="129"/>
      <c r="L266" s="130"/>
      <c r="M266" s="130"/>
      <c r="N266" s="130"/>
      <c r="O266" s="130"/>
      <c r="P266" s="129"/>
      <c r="Q266" s="127"/>
      <c r="R266" s="119"/>
      <c r="S266" s="132"/>
      <c r="T266" s="133"/>
      <c r="U266" s="134"/>
      <c r="V266" s="135"/>
      <c r="W266" s="135"/>
      <c r="X266" s="135"/>
      <c r="Y266" s="135"/>
      <c r="Z266" s="135"/>
      <c r="AA266" s="135"/>
      <c r="AB266" s="135"/>
      <c r="AC266" s="135"/>
    </row>
    <row r="267" ht="20.25" customHeight="1" outlineLevel="1">
      <c r="B267" s="125"/>
      <c r="C267" s="130"/>
      <c r="D267" s="127"/>
      <c r="E267" s="132"/>
      <c r="F267" s="128"/>
      <c r="G267" s="127"/>
      <c r="H267" s="119"/>
      <c r="I267" s="127"/>
      <c r="J267" s="129"/>
      <c r="K267" s="129"/>
      <c r="L267" s="130"/>
      <c r="M267" s="130"/>
      <c r="N267" s="130"/>
      <c r="O267" s="130"/>
      <c r="P267" s="129"/>
      <c r="Q267" s="127"/>
      <c r="R267" s="119"/>
      <c r="S267" s="132"/>
      <c r="T267" s="133"/>
      <c r="U267" s="134"/>
      <c r="V267" s="135"/>
      <c r="W267" s="135"/>
      <c r="X267" s="135"/>
      <c r="Y267" s="135"/>
      <c r="Z267" s="135"/>
      <c r="AA267" s="135"/>
      <c r="AB267" s="135"/>
      <c r="AC267" s="135"/>
    </row>
    <row r="268" ht="20.25" customHeight="1" outlineLevel="1">
      <c r="B268" s="125"/>
      <c r="C268" s="130"/>
      <c r="D268" s="127"/>
      <c r="E268" s="132"/>
      <c r="F268" s="128"/>
      <c r="G268" s="127"/>
      <c r="H268" s="119"/>
      <c r="I268" s="127"/>
      <c r="J268" s="129"/>
      <c r="K268" s="129"/>
      <c r="L268" s="130"/>
      <c r="M268" s="130"/>
      <c r="N268" s="130"/>
      <c r="O268" s="130"/>
      <c r="P268" s="129"/>
      <c r="Q268" s="127"/>
      <c r="R268" s="119"/>
      <c r="S268" s="132"/>
      <c r="T268" s="133"/>
      <c r="U268" s="134"/>
      <c r="V268" s="135"/>
      <c r="W268" s="135"/>
      <c r="X268" s="135"/>
      <c r="Y268" s="135"/>
      <c r="Z268" s="135"/>
      <c r="AA268" s="135"/>
      <c r="AB268" s="135"/>
      <c r="AC268" s="135"/>
    </row>
    <row r="269" ht="20.25" customHeight="1" outlineLevel="1">
      <c r="B269" s="125"/>
      <c r="C269" s="130"/>
      <c r="D269" s="127"/>
      <c r="E269" s="132"/>
      <c r="F269" s="128"/>
      <c r="G269" s="127"/>
      <c r="H269" s="119"/>
      <c r="I269" s="127"/>
      <c r="J269" s="129"/>
      <c r="K269" s="129"/>
      <c r="L269" s="130"/>
      <c r="M269" s="130"/>
      <c r="N269" s="130"/>
      <c r="O269" s="130"/>
      <c r="P269" s="129"/>
      <c r="Q269" s="127"/>
      <c r="R269" s="119"/>
      <c r="S269" s="132"/>
      <c r="T269" s="133"/>
      <c r="U269" s="134"/>
      <c r="V269" s="135"/>
      <c r="W269" s="135"/>
      <c r="X269" s="135"/>
      <c r="Y269" s="135"/>
      <c r="Z269" s="135"/>
      <c r="AA269" s="135"/>
      <c r="AB269" s="135"/>
      <c r="AC269" s="135"/>
    </row>
    <row r="270" ht="20.25" customHeight="1" outlineLevel="1">
      <c r="B270" s="125"/>
      <c r="C270" s="130"/>
      <c r="D270" s="127"/>
      <c r="E270" s="132"/>
      <c r="F270" s="128"/>
      <c r="G270" s="127"/>
      <c r="H270" s="119"/>
      <c r="I270" s="127"/>
      <c r="J270" s="129"/>
      <c r="K270" s="129"/>
      <c r="L270" s="130"/>
      <c r="M270" s="130"/>
      <c r="N270" s="130"/>
      <c r="O270" s="130"/>
      <c r="P270" s="129"/>
      <c r="Q270" s="127"/>
      <c r="R270" s="119"/>
      <c r="S270" s="132"/>
      <c r="T270" s="133"/>
      <c r="U270" s="134"/>
      <c r="V270" s="135"/>
      <c r="W270" s="135"/>
      <c r="X270" s="135"/>
      <c r="Y270" s="135"/>
      <c r="Z270" s="135"/>
      <c r="AA270" s="135"/>
      <c r="AB270" s="135"/>
      <c r="AC270" s="135"/>
    </row>
    <row r="271" ht="20.25" customHeight="1" outlineLevel="1">
      <c r="B271" s="125"/>
      <c r="C271" s="130"/>
      <c r="D271" s="127"/>
      <c r="E271" s="132"/>
      <c r="F271" s="128"/>
      <c r="G271" s="127"/>
      <c r="H271" s="119"/>
      <c r="I271" s="127"/>
      <c r="J271" s="129"/>
      <c r="K271" s="129"/>
      <c r="L271" s="130"/>
      <c r="M271" s="130"/>
      <c r="N271" s="130"/>
      <c r="O271" s="130"/>
      <c r="P271" s="129"/>
      <c r="Q271" s="127"/>
      <c r="R271" s="119"/>
      <c r="S271" s="132"/>
      <c r="T271" s="133"/>
      <c r="U271" s="134"/>
      <c r="V271" s="135"/>
      <c r="W271" s="135"/>
      <c r="X271" s="135"/>
      <c r="Y271" s="135"/>
      <c r="Z271" s="135"/>
      <c r="AA271" s="135"/>
      <c r="AB271" s="135"/>
      <c r="AC271" s="135"/>
    </row>
    <row r="272" ht="20.25" customHeight="1" outlineLevel="1">
      <c r="B272" s="125"/>
      <c r="C272" s="130"/>
      <c r="D272" s="127"/>
      <c r="E272" s="132"/>
      <c r="F272" s="128"/>
      <c r="G272" s="127"/>
      <c r="H272" s="119"/>
      <c r="I272" s="127"/>
      <c r="J272" s="129"/>
      <c r="K272" s="129"/>
      <c r="L272" s="130"/>
      <c r="M272" s="130"/>
      <c r="N272" s="130"/>
      <c r="O272" s="130"/>
      <c r="P272" s="129"/>
      <c r="Q272" s="127"/>
      <c r="R272" s="119"/>
      <c r="S272" s="132"/>
      <c r="T272" s="133"/>
      <c r="U272" s="134"/>
      <c r="V272" s="135"/>
      <c r="W272" s="135"/>
      <c r="X272" s="135"/>
      <c r="Y272" s="135"/>
      <c r="Z272" s="135"/>
      <c r="AA272" s="135"/>
      <c r="AB272" s="135"/>
      <c r="AC272" s="135"/>
    </row>
    <row r="273" ht="20.25" customHeight="1" outlineLevel="1">
      <c r="B273" s="125"/>
      <c r="C273" s="130"/>
      <c r="D273" s="127"/>
      <c r="E273" s="132"/>
      <c r="F273" s="128"/>
      <c r="G273" s="127"/>
      <c r="H273" s="119"/>
      <c r="I273" s="127"/>
      <c r="J273" s="129"/>
      <c r="K273" s="129"/>
      <c r="L273" s="130"/>
      <c r="M273" s="130"/>
      <c r="N273" s="130"/>
      <c r="O273" s="130"/>
      <c r="P273" s="129"/>
      <c r="Q273" s="127"/>
      <c r="R273" s="119"/>
      <c r="S273" s="132"/>
      <c r="T273" s="133"/>
      <c r="U273" s="134"/>
      <c r="V273" s="135"/>
      <c r="W273" s="135"/>
      <c r="X273" s="135"/>
      <c r="Y273" s="135"/>
      <c r="Z273" s="135"/>
      <c r="AA273" s="135"/>
      <c r="AB273" s="135"/>
      <c r="AC273" s="135"/>
    </row>
    <row r="274" ht="20.25" customHeight="1" outlineLevel="1">
      <c r="B274" s="125"/>
      <c r="C274" s="130"/>
      <c r="D274" s="127"/>
      <c r="E274" s="132"/>
      <c r="F274" s="128"/>
      <c r="G274" s="127"/>
      <c r="H274" s="119"/>
      <c r="I274" s="127"/>
      <c r="J274" s="129"/>
      <c r="K274" s="129"/>
      <c r="L274" s="130"/>
      <c r="M274" s="130"/>
      <c r="N274" s="130"/>
      <c r="O274" s="130"/>
      <c r="P274" s="129"/>
      <c r="Q274" s="127"/>
      <c r="R274" s="119"/>
      <c r="S274" s="132"/>
      <c r="T274" s="133"/>
      <c r="U274" s="134"/>
      <c r="V274" s="135"/>
      <c r="W274" s="135"/>
      <c r="X274" s="135"/>
      <c r="Y274" s="135"/>
      <c r="Z274" s="135"/>
      <c r="AA274" s="135"/>
      <c r="AB274" s="135"/>
      <c r="AC274" s="135"/>
    </row>
    <row r="275" ht="20.25" customHeight="1" outlineLevel="1">
      <c r="B275" s="125"/>
      <c r="C275" s="130"/>
      <c r="D275" s="127"/>
      <c r="E275" s="132"/>
      <c r="F275" s="128"/>
      <c r="G275" s="127"/>
      <c r="H275" s="119"/>
      <c r="I275" s="127"/>
      <c r="J275" s="129"/>
      <c r="K275" s="129"/>
      <c r="L275" s="130"/>
      <c r="M275" s="130"/>
      <c r="N275" s="130"/>
      <c r="O275" s="130"/>
      <c r="P275" s="129"/>
      <c r="Q275" s="127"/>
      <c r="R275" s="119"/>
      <c r="S275" s="132"/>
      <c r="T275" s="133"/>
      <c r="U275" s="134"/>
      <c r="V275" s="135"/>
      <c r="W275" s="135"/>
      <c r="X275" s="135"/>
      <c r="Y275" s="135"/>
      <c r="Z275" s="135"/>
      <c r="AA275" s="135"/>
      <c r="AB275" s="135"/>
      <c r="AC275" s="135"/>
    </row>
    <row r="276" ht="20.25" customHeight="1" outlineLevel="1">
      <c r="B276" s="125"/>
      <c r="C276" s="130"/>
      <c r="D276" s="127"/>
      <c r="E276" s="132"/>
      <c r="F276" s="128"/>
      <c r="G276" s="127"/>
      <c r="H276" s="119"/>
      <c r="I276" s="127"/>
      <c r="J276" s="129"/>
      <c r="K276" s="129"/>
      <c r="L276" s="130"/>
      <c r="M276" s="130"/>
      <c r="N276" s="130"/>
      <c r="O276" s="130"/>
      <c r="P276" s="129"/>
      <c r="Q276" s="127"/>
      <c r="R276" s="119"/>
      <c r="S276" s="132"/>
      <c r="T276" s="133"/>
      <c r="U276" s="134"/>
      <c r="V276" s="135"/>
      <c r="W276" s="135"/>
      <c r="X276" s="135"/>
      <c r="Y276" s="135"/>
      <c r="Z276" s="135"/>
      <c r="AA276" s="135"/>
      <c r="AB276" s="135"/>
      <c r="AC276" s="135"/>
    </row>
    <row r="277" ht="20.25" customHeight="1" outlineLevel="1">
      <c r="B277" s="125"/>
      <c r="C277" s="130"/>
      <c r="D277" s="127"/>
      <c r="E277" s="132"/>
      <c r="F277" s="128"/>
      <c r="G277" s="127"/>
      <c r="H277" s="119"/>
      <c r="I277" s="127"/>
      <c r="J277" s="129"/>
      <c r="K277" s="129"/>
      <c r="L277" s="130"/>
      <c r="M277" s="130"/>
      <c r="N277" s="130"/>
      <c r="O277" s="130"/>
      <c r="P277" s="129"/>
      <c r="Q277" s="127"/>
      <c r="R277" s="119"/>
      <c r="S277" s="132"/>
      <c r="T277" s="133"/>
      <c r="U277" s="134"/>
      <c r="V277" s="135"/>
      <c r="W277" s="135"/>
      <c r="X277" s="135"/>
      <c r="Y277" s="135"/>
      <c r="Z277" s="135"/>
      <c r="AA277" s="135"/>
      <c r="AB277" s="135"/>
      <c r="AC277" s="135"/>
    </row>
    <row r="278" ht="20.25" customHeight="1" outlineLevel="1">
      <c r="B278" s="125"/>
      <c r="C278" s="130"/>
      <c r="D278" s="127"/>
      <c r="E278" s="132"/>
      <c r="F278" s="128"/>
      <c r="G278" s="127"/>
      <c r="H278" s="119"/>
      <c r="I278" s="127"/>
      <c r="J278" s="129"/>
      <c r="K278" s="129"/>
      <c r="L278" s="130"/>
      <c r="M278" s="130"/>
      <c r="N278" s="130"/>
      <c r="O278" s="130"/>
      <c r="P278" s="129"/>
      <c r="Q278" s="127"/>
      <c r="R278" s="119"/>
      <c r="S278" s="132"/>
      <c r="T278" s="133"/>
      <c r="U278" s="134"/>
      <c r="V278" s="135"/>
      <c r="W278" s="135"/>
      <c r="X278" s="135"/>
      <c r="Y278" s="135"/>
      <c r="Z278" s="135"/>
      <c r="AA278" s="135"/>
      <c r="AB278" s="135"/>
      <c r="AC278" s="135"/>
    </row>
    <row r="279" ht="20.25" customHeight="1" outlineLevel="1">
      <c r="B279" s="125"/>
      <c r="C279" s="130"/>
      <c r="D279" s="127"/>
      <c r="E279" s="132"/>
      <c r="F279" s="128"/>
      <c r="G279" s="127"/>
      <c r="H279" s="119"/>
      <c r="I279" s="127"/>
      <c r="J279" s="129"/>
      <c r="K279" s="129"/>
      <c r="L279" s="130"/>
      <c r="M279" s="130"/>
      <c r="N279" s="130"/>
      <c r="O279" s="130"/>
      <c r="P279" s="129"/>
      <c r="Q279" s="127"/>
      <c r="R279" s="119"/>
      <c r="S279" s="132"/>
      <c r="T279" s="133"/>
      <c r="U279" s="134"/>
      <c r="V279" s="135"/>
      <c r="W279" s="135"/>
      <c r="X279" s="135"/>
      <c r="Y279" s="135"/>
      <c r="Z279" s="135"/>
      <c r="AA279" s="135"/>
      <c r="AB279" s="135"/>
      <c r="AC279" s="135"/>
    </row>
    <row r="280" ht="20.25" customHeight="1" outlineLevel="1">
      <c r="B280" s="125"/>
      <c r="C280" s="130"/>
      <c r="D280" s="127"/>
      <c r="E280" s="132"/>
      <c r="F280" s="128"/>
      <c r="G280" s="127"/>
      <c r="H280" s="119"/>
      <c r="I280" s="127"/>
      <c r="J280" s="129"/>
      <c r="K280" s="129"/>
      <c r="L280" s="130"/>
      <c r="M280" s="130"/>
      <c r="N280" s="130"/>
      <c r="O280" s="130"/>
      <c r="P280" s="129"/>
      <c r="Q280" s="127"/>
      <c r="R280" s="119"/>
      <c r="S280" s="132"/>
      <c r="T280" s="133"/>
      <c r="U280" s="134"/>
      <c r="V280" s="135"/>
      <c r="W280" s="135"/>
      <c r="X280" s="135"/>
      <c r="Y280" s="135"/>
      <c r="Z280" s="135"/>
      <c r="AA280" s="135"/>
      <c r="AB280" s="135"/>
      <c r="AC280" s="135"/>
    </row>
    <row r="281" ht="20.25" customHeight="1" outlineLevel="1">
      <c r="B281" s="125"/>
      <c r="C281" s="130"/>
      <c r="D281" s="127"/>
      <c r="E281" s="132"/>
      <c r="F281" s="128"/>
      <c r="G281" s="127"/>
      <c r="H281" s="119"/>
      <c r="I281" s="127"/>
      <c r="J281" s="129"/>
      <c r="K281" s="129"/>
      <c r="L281" s="130"/>
      <c r="M281" s="130"/>
      <c r="N281" s="130"/>
      <c r="O281" s="130"/>
      <c r="P281" s="129"/>
      <c r="Q281" s="127"/>
      <c r="R281" s="119"/>
      <c r="S281" s="132"/>
      <c r="T281" s="133"/>
      <c r="U281" s="134"/>
      <c r="V281" s="135"/>
      <c r="W281" s="135"/>
      <c r="X281" s="135"/>
      <c r="Y281" s="135"/>
      <c r="Z281" s="135"/>
      <c r="AA281" s="135"/>
      <c r="AB281" s="135"/>
      <c r="AC281" s="135"/>
    </row>
    <row r="282" ht="20.25" customHeight="1" outlineLevel="1">
      <c r="B282" s="125"/>
      <c r="C282" s="130"/>
      <c r="D282" s="127"/>
      <c r="E282" s="132"/>
      <c r="F282" s="128"/>
      <c r="G282" s="127"/>
      <c r="H282" s="119"/>
      <c r="I282" s="127"/>
      <c r="J282" s="129"/>
      <c r="K282" s="129"/>
      <c r="L282" s="130"/>
      <c r="M282" s="130"/>
      <c r="N282" s="130"/>
      <c r="O282" s="130"/>
      <c r="P282" s="129"/>
      <c r="Q282" s="127"/>
      <c r="R282" s="119"/>
      <c r="S282" s="132"/>
      <c r="T282" s="133"/>
      <c r="U282" s="134"/>
      <c r="V282" s="135"/>
      <c r="W282" s="135"/>
      <c r="X282" s="135"/>
      <c r="Y282" s="135"/>
      <c r="Z282" s="135"/>
      <c r="AA282" s="135"/>
      <c r="AB282" s="135"/>
      <c r="AC282" s="135"/>
    </row>
    <row r="283" ht="20.25" customHeight="1" outlineLevel="1">
      <c r="B283" s="125"/>
      <c r="C283" s="130"/>
      <c r="D283" s="127"/>
      <c r="E283" s="132"/>
      <c r="F283" s="128"/>
      <c r="G283" s="127"/>
      <c r="H283" s="119"/>
      <c r="I283" s="127"/>
      <c r="J283" s="129"/>
      <c r="K283" s="129"/>
      <c r="L283" s="130"/>
      <c r="M283" s="130"/>
      <c r="N283" s="130"/>
      <c r="O283" s="130"/>
      <c r="P283" s="129"/>
      <c r="Q283" s="127"/>
      <c r="R283" s="119"/>
      <c r="S283" s="132"/>
      <c r="T283" s="133"/>
      <c r="U283" s="134"/>
      <c r="V283" s="135"/>
      <c r="W283" s="135"/>
      <c r="X283" s="135"/>
      <c r="Y283" s="135"/>
      <c r="Z283" s="135"/>
      <c r="AA283" s="135"/>
      <c r="AB283" s="135"/>
      <c r="AC283" s="135"/>
    </row>
    <row r="284" ht="20.25" customHeight="1" outlineLevel="1">
      <c r="B284" s="125"/>
      <c r="C284" s="130"/>
      <c r="D284" s="127"/>
      <c r="E284" s="132"/>
      <c r="F284" s="128"/>
      <c r="G284" s="127"/>
      <c r="H284" s="119"/>
      <c r="I284" s="127"/>
      <c r="J284" s="129"/>
      <c r="K284" s="129"/>
      <c r="L284" s="130"/>
      <c r="M284" s="130"/>
      <c r="N284" s="130"/>
      <c r="O284" s="130"/>
      <c r="P284" s="129"/>
      <c r="Q284" s="127"/>
      <c r="R284" s="119"/>
      <c r="S284" s="132"/>
      <c r="T284" s="133"/>
      <c r="U284" s="134"/>
      <c r="V284" s="135"/>
      <c r="W284" s="135"/>
      <c r="X284" s="135"/>
      <c r="Y284" s="135"/>
      <c r="Z284" s="135"/>
      <c r="AA284" s="135"/>
      <c r="AB284" s="135"/>
      <c r="AC284" s="135"/>
    </row>
    <row r="285" ht="20.25" customHeight="1" outlineLevel="1">
      <c r="B285" s="125"/>
      <c r="C285" s="130"/>
      <c r="D285" s="127"/>
      <c r="E285" s="132"/>
      <c r="F285" s="128"/>
      <c r="G285" s="127"/>
      <c r="H285" s="119"/>
      <c r="I285" s="127"/>
      <c r="J285" s="129"/>
      <c r="K285" s="129"/>
      <c r="L285" s="130"/>
      <c r="M285" s="130"/>
      <c r="N285" s="130"/>
      <c r="O285" s="130"/>
      <c r="P285" s="129"/>
      <c r="Q285" s="127"/>
      <c r="R285" s="119"/>
      <c r="S285" s="132"/>
      <c r="T285" s="133"/>
      <c r="U285" s="134"/>
      <c r="V285" s="135"/>
      <c r="W285" s="135"/>
      <c r="X285" s="135"/>
      <c r="Y285" s="135"/>
      <c r="Z285" s="135"/>
      <c r="AA285" s="135"/>
      <c r="AB285" s="135"/>
      <c r="AC285" s="135"/>
    </row>
    <row r="286" ht="20.25" customHeight="1" outlineLevel="1">
      <c r="B286" s="125"/>
      <c r="C286" s="130"/>
      <c r="D286" s="127"/>
      <c r="E286" s="132"/>
      <c r="F286" s="128"/>
      <c r="G286" s="127"/>
      <c r="H286" s="119"/>
      <c r="I286" s="127"/>
      <c r="J286" s="129"/>
      <c r="K286" s="129"/>
      <c r="L286" s="130"/>
      <c r="M286" s="130"/>
      <c r="N286" s="130"/>
      <c r="O286" s="130"/>
      <c r="P286" s="129"/>
      <c r="Q286" s="127"/>
      <c r="R286" s="119"/>
      <c r="S286" s="132"/>
      <c r="T286" s="133"/>
      <c r="U286" s="134"/>
      <c r="V286" s="135"/>
      <c r="W286" s="135"/>
      <c r="X286" s="135"/>
      <c r="Y286" s="135"/>
      <c r="Z286" s="135"/>
      <c r="AA286" s="135"/>
      <c r="AB286" s="135"/>
      <c r="AC286" s="135"/>
    </row>
    <row r="287" ht="20.25" customHeight="1" outlineLevel="1">
      <c r="B287" s="125"/>
      <c r="C287" s="130"/>
      <c r="D287" s="127"/>
      <c r="E287" s="132"/>
      <c r="F287" s="128"/>
      <c r="G287" s="127"/>
      <c r="H287" s="119"/>
      <c r="I287" s="127"/>
      <c r="J287" s="129"/>
      <c r="K287" s="129"/>
      <c r="L287" s="130"/>
      <c r="M287" s="130"/>
      <c r="N287" s="130"/>
      <c r="O287" s="130"/>
      <c r="P287" s="129"/>
      <c r="Q287" s="127"/>
      <c r="R287" s="119"/>
      <c r="S287" s="132"/>
      <c r="T287" s="133"/>
      <c r="U287" s="134"/>
      <c r="V287" s="135"/>
      <c r="W287" s="135"/>
      <c r="X287" s="135"/>
      <c r="Y287" s="135"/>
      <c r="Z287" s="135"/>
      <c r="AA287" s="135"/>
      <c r="AB287" s="135"/>
      <c r="AC287" s="135"/>
    </row>
    <row r="288" ht="20.25" customHeight="1" outlineLevel="1">
      <c r="B288" s="125"/>
      <c r="C288" s="130"/>
      <c r="D288" s="127"/>
      <c r="E288" s="132"/>
      <c r="F288" s="128"/>
      <c r="G288" s="127"/>
      <c r="H288" s="119"/>
      <c r="I288" s="127"/>
      <c r="J288" s="129"/>
      <c r="K288" s="129"/>
      <c r="L288" s="130"/>
      <c r="M288" s="130"/>
      <c r="N288" s="130"/>
      <c r="O288" s="130"/>
      <c r="P288" s="129"/>
      <c r="Q288" s="127"/>
      <c r="R288" s="119"/>
      <c r="S288" s="132"/>
      <c r="T288" s="133"/>
      <c r="U288" s="134"/>
      <c r="V288" s="135"/>
      <c r="W288" s="135"/>
      <c r="X288" s="135"/>
      <c r="Y288" s="135"/>
      <c r="Z288" s="135"/>
      <c r="AA288" s="135"/>
      <c r="AB288" s="135"/>
      <c r="AC288" s="135"/>
    </row>
    <row r="289" ht="20.25" customHeight="1" outlineLevel="1">
      <c r="B289" s="125"/>
      <c r="C289" s="130"/>
      <c r="D289" s="127"/>
      <c r="E289" s="132"/>
      <c r="F289" s="128"/>
      <c r="G289" s="127"/>
      <c r="H289" s="119"/>
      <c r="I289" s="127"/>
      <c r="J289" s="129"/>
      <c r="K289" s="129"/>
      <c r="L289" s="130"/>
      <c r="M289" s="130"/>
      <c r="N289" s="130"/>
      <c r="O289" s="130"/>
      <c r="P289" s="129"/>
      <c r="Q289" s="127"/>
      <c r="R289" s="119"/>
      <c r="S289" s="132"/>
      <c r="T289" s="133"/>
      <c r="U289" s="134"/>
      <c r="V289" s="135"/>
      <c r="W289" s="135"/>
      <c r="X289" s="135"/>
      <c r="Y289" s="135"/>
      <c r="Z289" s="135"/>
      <c r="AA289" s="135"/>
      <c r="AB289" s="135"/>
      <c r="AC289" s="135"/>
    </row>
    <row r="290" ht="20.25" customHeight="1" outlineLevel="1">
      <c r="B290" s="125"/>
      <c r="C290" s="130"/>
      <c r="D290" s="127"/>
      <c r="E290" s="132"/>
      <c r="F290" s="128"/>
      <c r="G290" s="127"/>
      <c r="H290" s="119"/>
      <c r="I290" s="127"/>
      <c r="J290" s="129"/>
      <c r="K290" s="129"/>
      <c r="L290" s="130"/>
      <c r="M290" s="130"/>
      <c r="N290" s="130"/>
      <c r="O290" s="130"/>
      <c r="P290" s="129"/>
      <c r="Q290" s="127"/>
      <c r="R290" s="119"/>
      <c r="S290" s="132"/>
      <c r="T290" s="133"/>
      <c r="U290" s="134"/>
      <c r="V290" s="135"/>
      <c r="W290" s="135"/>
      <c r="X290" s="135"/>
      <c r="Y290" s="135"/>
      <c r="Z290" s="135"/>
      <c r="AA290" s="135"/>
      <c r="AB290" s="135"/>
      <c r="AC290" s="135"/>
    </row>
    <row r="291" ht="20.25" customHeight="1" outlineLevel="1">
      <c r="B291" s="125"/>
      <c r="C291" s="130"/>
      <c r="D291" s="127"/>
      <c r="E291" s="132"/>
      <c r="F291" s="128"/>
      <c r="G291" s="127"/>
      <c r="H291" s="119"/>
      <c r="I291" s="127"/>
      <c r="J291" s="129"/>
      <c r="K291" s="129"/>
      <c r="L291" s="130"/>
      <c r="M291" s="130"/>
      <c r="N291" s="130"/>
      <c r="O291" s="130"/>
      <c r="P291" s="129"/>
      <c r="Q291" s="127"/>
      <c r="R291" s="119"/>
      <c r="S291" s="132"/>
      <c r="T291" s="133"/>
      <c r="U291" s="134"/>
      <c r="V291" s="135"/>
      <c r="W291" s="135"/>
      <c r="X291" s="135"/>
      <c r="Y291" s="135"/>
      <c r="Z291" s="135"/>
      <c r="AA291" s="135"/>
      <c r="AB291" s="135"/>
      <c r="AC291" s="135"/>
    </row>
    <row r="292" ht="20.25" customHeight="1" outlineLevel="1">
      <c r="B292" s="125"/>
      <c r="C292" s="130"/>
      <c r="D292" s="127"/>
      <c r="E292" s="132"/>
      <c r="F292" s="128"/>
      <c r="G292" s="127"/>
      <c r="H292" s="119"/>
      <c r="I292" s="127"/>
      <c r="J292" s="129"/>
      <c r="K292" s="129"/>
      <c r="L292" s="130"/>
      <c r="M292" s="130"/>
      <c r="N292" s="130"/>
      <c r="O292" s="130"/>
      <c r="P292" s="129"/>
      <c r="Q292" s="127"/>
      <c r="R292" s="119"/>
      <c r="S292" s="132"/>
      <c r="T292" s="133"/>
      <c r="U292" s="134"/>
      <c r="V292" s="135"/>
      <c r="W292" s="135"/>
      <c r="X292" s="135"/>
      <c r="Y292" s="135"/>
      <c r="Z292" s="135"/>
      <c r="AA292" s="135"/>
      <c r="AB292" s="135"/>
      <c r="AC292" s="135"/>
    </row>
    <row r="293" ht="20.25" customHeight="1" outlineLevel="1">
      <c r="B293" s="125"/>
      <c r="C293" s="130"/>
      <c r="D293" s="127"/>
      <c r="E293" s="132"/>
      <c r="F293" s="128"/>
      <c r="G293" s="127"/>
      <c r="H293" s="119"/>
      <c r="I293" s="127"/>
      <c r="J293" s="129"/>
      <c r="K293" s="129"/>
      <c r="L293" s="130"/>
      <c r="M293" s="130"/>
      <c r="N293" s="130"/>
      <c r="O293" s="130"/>
      <c r="P293" s="129"/>
      <c r="Q293" s="127"/>
      <c r="R293" s="119"/>
      <c r="S293" s="132"/>
      <c r="T293" s="133"/>
      <c r="U293" s="134"/>
      <c r="V293" s="135"/>
      <c r="W293" s="135"/>
      <c r="X293" s="135"/>
      <c r="Y293" s="135"/>
      <c r="Z293" s="135"/>
      <c r="AA293" s="135"/>
      <c r="AB293" s="135"/>
      <c r="AC293" s="135"/>
    </row>
    <row r="294" ht="20.25" customHeight="1" outlineLevel="1">
      <c r="B294" s="125"/>
      <c r="C294" s="130"/>
      <c r="D294" s="127"/>
      <c r="E294" s="132"/>
      <c r="F294" s="128"/>
      <c r="G294" s="127"/>
      <c r="H294" s="119"/>
      <c r="I294" s="127"/>
      <c r="J294" s="129"/>
      <c r="K294" s="129"/>
      <c r="L294" s="130"/>
      <c r="M294" s="130"/>
      <c r="N294" s="130"/>
      <c r="O294" s="130"/>
      <c r="P294" s="129"/>
      <c r="Q294" s="127"/>
      <c r="R294" s="119"/>
      <c r="S294" s="132"/>
      <c r="T294" s="133"/>
      <c r="U294" s="134"/>
      <c r="V294" s="135"/>
      <c r="W294" s="135"/>
      <c r="X294" s="135"/>
      <c r="Y294" s="135"/>
      <c r="Z294" s="135"/>
      <c r="AA294" s="135"/>
      <c r="AB294" s="135"/>
      <c r="AC294" s="135"/>
    </row>
    <row r="295" ht="20.25" customHeight="1" outlineLevel="1">
      <c r="B295" s="125"/>
      <c r="C295" s="130"/>
      <c r="D295" s="127"/>
      <c r="E295" s="132"/>
      <c r="F295" s="128"/>
      <c r="G295" s="127"/>
      <c r="H295" s="119"/>
      <c r="I295" s="127"/>
      <c r="J295" s="129"/>
      <c r="K295" s="129"/>
      <c r="L295" s="130"/>
      <c r="M295" s="130"/>
      <c r="N295" s="130"/>
      <c r="O295" s="130"/>
      <c r="P295" s="129"/>
      <c r="Q295" s="127"/>
      <c r="R295" s="119"/>
      <c r="S295" s="132"/>
      <c r="T295" s="133"/>
      <c r="U295" s="134"/>
      <c r="V295" s="135"/>
      <c r="W295" s="135"/>
      <c r="X295" s="135"/>
      <c r="Y295" s="135"/>
      <c r="Z295" s="135"/>
      <c r="AA295" s="135"/>
      <c r="AB295" s="135"/>
      <c r="AC295" s="135"/>
    </row>
    <row r="296" ht="20.25" customHeight="1" outlineLevel="1">
      <c r="B296" s="125"/>
      <c r="C296" s="130"/>
      <c r="D296" s="127"/>
      <c r="E296" s="132"/>
      <c r="F296" s="128"/>
      <c r="G296" s="127"/>
      <c r="H296" s="119"/>
      <c r="I296" s="127"/>
      <c r="J296" s="129"/>
      <c r="K296" s="129"/>
      <c r="L296" s="130"/>
      <c r="M296" s="130"/>
      <c r="N296" s="130"/>
      <c r="O296" s="130"/>
      <c r="P296" s="129"/>
      <c r="Q296" s="127"/>
      <c r="R296" s="119"/>
      <c r="S296" s="132"/>
      <c r="T296" s="133"/>
      <c r="U296" s="134"/>
      <c r="V296" s="135"/>
      <c r="W296" s="135"/>
      <c r="X296" s="135"/>
      <c r="Y296" s="135"/>
      <c r="Z296" s="135"/>
      <c r="AA296" s="135"/>
      <c r="AB296" s="135"/>
      <c r="AC296" s="135"/>
    </row>
    <row r="297" ht="20.25" customHeight="1" outlineLevel="1">
      <c r="B297" s="125"/>
      <c r="C297" s="130"/>
      <c r="D297" s="127"/>
      <c r="E297" s="132"/>
      <c r="F297" s="128"/>
      <c r="G297" s="127"/>
      <c r="H297" s="119"/>
      <c r="I297" s="127"/>
      <c r="J297" s="129"/>
      <c r="K297" s="129"/>
      <c r="L297" s="130"/>
      <c r="M297" s="130"/>
      <c r="N297" s="130"/>
      <c r="O297" s="130"/>
      <c r="P297" s="129"/>
      <c r="Q297" s="127"/>
      <c r="R297" s="119"/>
      <c r="S297" s="132"/>
      <c r="T297" s="133"/>
      <c r="U297" s="134"/>
      <c r="V297" s="135"/>
      <c r="W297" s="135"/>
      <c r="X297" s="135"/>
      <c r="Y297" s="135"/>
      <c r="Z297" s="135"/>
      <c r="AA297" s="135"/>
      <c r="AB297" s="135"/>
      <c r="AC297" s="135"/>
    </row>
    <row r="298" ht="20.25" customHeight="1" outlineLevel="1">
      <c r="B298" s="125"/>
      <c r="C298" s="130"/>
      <c r="D298" s="127"/>
      <c r="E298" s="132"/>
      <c r="F298" s="128"/>
      <c r="G298" s="127"/>
      <c r="H298" s="119"/>
      <c r="I298" s="127"/>
      <c r="J298" s="129"/>
      <c r="K298" s="129"/>
      <c r="L298" s="130"/>
      <c r="M298" s="130"/>
      <c r="N298" s="130"/>
      <c r="O298" s="130"/>
      <c r="P298" s="129"/>
      <c r="Q298" s="127"/>
      <c r="R298" s="119"/>
      <c r="S298" s="132"/>
      <c r="T298" s="133"/>
      <c r="U298" s="134"/>
      <c r="V298" s="135"/>
      <c r="W298" s="135"/>
      <c r="X298" s="135"/>
      <c r="Y298" s="135"/>
      <c r="Z298" s="135"/>
      <c r="AA298" s="135"/>
      <c r="AB298" s="135"/>
      <c r="AC298" s="135"/>
    </row>
    <row r="299" ht="20.25" customHeight="1" outlineLevel="1">
      <c r="B299" s="125"/>
      <c r="C299" s="130"/>
      <c r="D299" s="127"/>
      <c r="E299" s="132"/>
      <c r="F299" s="128"/>
      <c r="G299" s="127"/>
      <c r="H299" s="119"/>
      <c r="I299" s="127"/>
      <c r="J299" s="129"/>
      <c r="K299" s="129"/>
      <c r="L299" s="130"/>
      <c r="M299" s="130"/>
      <c r="N299" s="130"/>
      <c r="O299" s="130"/>
      <c r="P299" s="129"/>
      <c r="Q299" s="127"/>
      <c r="R299" s="119"/>
      <c r="S299" s="132"/>
      <c r="T299" s="133"/>
      <c r="U299" s="134"/>
      <c r="V299" s="135"/>
      <c r="W299" s="135"/>
      <c r="X299" s="135"/>
      <c r="Y299" s="135"/>
      <c r="Z299" s="135"/>
      <c r="AA299" s="135"/>
      <c r="AB299" s="135"/>
      <c r="AC299" s="135"/>
    </row>
    <row r="300" ht="20.25" customHeight="1" outlineLevel="1">
      <c r="B300" s="125"/>
      <c r="C300" s="130"/>
      <c r="D300" s="127"/>
      <c r="E300" s="132"/>
      <c r="F300" s="128"/>
      <c r="G300" s="127"/>
      <c r="H300" s="119"/>
      <c r="I300" s="127"/>
      <c r="J300" s="129"/>
      <c r="K300" s="129"/>
      <c r="L300" s="130"/>
      <c r="M300" s="130"/>
      <c r="N300" s="130"/>
      <c r="O300" s="130"/>
      <c r="P300" s="129"/>
      <c r="Q300" s="127"/>
      <c r="R300" s="119"/>
      <c r="S300" s="132"/>
      <c r="T300" s="133"/>
      <c r="U300" s="134"/>
      <c r="V300" s="135"/>
      <c r="W300" s="135"/>
      <c r="X300" s="135"/>
      <c r="Y300" s="135"/>
      <c r="Z300" s="135"/>
      <c r="AA300" s="135"/>
      <c r="AB300" s="135"/>
      <c r="AC300" s="135"/>
    </row>
    <row r="301" ht="20.25" customHeight="1" outlineLevel="1">
      <c r="B301" s="125"/>
      <c r="C301" s="130"/>
      <c r="D301" s="127"/>
      <c r="E301" s="132"/>
      <c r="F301" s="128"/>
      <c r="G301" s="127"/>
      <c r="H301" s="119"/>
      <c r="I301" s="127"/>
      <c r="J301" s="129"/>
      <c r="K301" s="129"/>
      <c r="L301" s="130"/>
      <c r="M301" s="130"/>
      <c r="N301" s="130"/>
      <c r="O301" s="130"/>
      <c r="P301" s="129"/>
      <c r="Q301" s="127"/>
      <c r="R301" s="119"/>
      <c r="S301" s="132"/>
      <c r="T301" s="133"/>
      <c r="U301" s="134"/>
      <c r="V301" s="135"/>
      <c r="W301" s="135"/>
      <c r="X301" s="135"/>
      <c r="Y301" s="135"/>
      <c r="Z301" s="135"/>
      <c r="AA301" s="135"/>
      <c r="AB301" s="135"/>
      <c r="AC301" s="135"/>
    </row>
    <row r="302" ht="20.25" customHeight="1" outlineLevel="1">
      <c r="B302" s="125"/>
      <c r="C302" s="130"/>
      <c r="D302" s="127"/>
      <c r="E302" s="132"/>
      <c r="F302" s="128"/>
      <c r="G302" s="127"/>
      <c r="H302" s="119"/>
      <c r="I302" s="127"/>
      <c r="J302" s="129"/>
      <c r="K302" s="129"/>
      <c r="L302" s="130"/>
      <c r="M302" s="130"/>
      <c r="N302" s="130"/>
      <c r="O302" s="130"/>
      <c r="P302" s="129"/>
      <c r="Q302" s="127"/>
      <c r="R302" s="119"/>
      <c r="S302" s="132"/>
      <c r="T302" s="133"/>
      <c r="U302" s="134"/>
      <c r="V302" s="135"/>
      <c r="W302" s="135"/>
      <c r="X302" s="135"/>
      <c r="Y302" s="135"/>
      <c r="Z302" s="135"/>
      <c r="AA302" s="135"/>
      <c r="AB302" s="135"/>
      <c r="AC302" s="135"/>
    </row>
    <row r="303" ht="20.25" customHeight="1" outlineLevel="1">
      <c r="B303" s="125"/>
      <c r="C303" s="130"/>
      <c r="D303" s="127"/>
      <c r="E303" s="132"/>
      <c r="F303" s="128"/>
      <c r="G303" s="127"/>
      <c r="H303" s="119"/>
      <c r="I303" s="127"/>
      <c r="J303" s="129"/>
      <c r="K303" s="129"/>
      <c r="L303" s="130"/>
      <c r="M303" s="130"/>
      <c r="N303" s="130"/>
      <c r="O303" s="130"/>
      <c r="P303" s="129"/>
      <c r="Q303" s="127"/>
      <c r="R303" s="119"/>
      <c r="S303" s="132"/>
      <c r="T303" s="133"/>
      <c r="U303" s="134"/>
      <c r="V303" s="135"/>
      <c r="W303" s="135"/>
      <c r="X303" s="135"/>
      <c r="Y303" s="135"/>
      <c r="Z303" s="135"/>
      <c r="AA303" s="135"/>
      <c r="AB303" s="135"/>
      <c r="AC303" s="135"/>
    </row>
    <row r="304" ht="20.25" customHeight="1" outlineLevel="1">
      <c r="B304" s="125"/>
      <c r="C304" s="130"/>
      <c r="D304" s="127"/>
      <c r="E304" s="132"/>
      <c r="F304" s="128"/>
      <c r="G304" s="127"/>
      <c r="H304" s="119"/>
      <c r="I304" s="127"/>
      <c r="J304" s="129"/>
      <c r="K304" s="129"/>
      <c r="L304" s="130"/>
      <c r="M304" s="130"/>
      <c r="N304" s="130"/>
      <c r="O304" s="130"/>
      <c r="P304" s="129"/>
      <c r="Q304" s="127"/>
      <c r="R304" s="119"/>
      <c r="S304" s="132"/>
      <c r="T304" s="133"/>
      <c r="U304" s="134"/>
      <c r="V304" s="135"/>
      <c r="W304" s="135"/>
      <c r="X304" s="135"/>
      <c r="Y304" s="135"/>
      <c r="Z304" s="135"/>
      <c r="AA304" s="135"/>
      <c r="AB304" s="135"/>
      <c r="AC304" s="135"/>
    </row>
    <row r="305" ht="20.25" customHeight="1" outlineLevel="1">
      <c r="B305" s="125"/>
      <c r="C305" s="130"/>
      <c r="D305" s="127"/>
      <c r="E305" s="132"/>
      <c r="F305" s="128"/>
      <c r="G305" s="127"/>
      <c r="H305" s="119"/>
      <c r="I305" s="127"/>
      <c r="J305" s="129"/>
      <c r="K305" s="129"/>
      <c r="L305" s="130"/>
      <c r="M305" s="130"/>
      <c r="N305" s="130"/>
      <c r="O305" s="130"/>
      <c r="P305" s="129"/>
      <c r="Q305" s="127"/>
      <c r="R305" s="119"/>
      <c r="S305" s="132"/>
      <c r="T305" s="133"/>
      <c r="U305" s="134"/>
      <c r="V305" s="135"/>
      <c r="W305" s="135"/>
      <c r="X305" s="135"/>
      <c r="Y305" s="135"/>
      <c r="Z305" s="135"/>
      <c r="AA305" s="135"/>
      <c r="AB305" s="135"/>
      <c r="AC305" s="135"/>
    </row>
    <row r="306" ht="20.25" customHeight="1" outlineLevel="1">
      <c r="B306" s="125"/>
      <c r="C306" s="130"/>
      <c r="D306" s="127"/>
      <c r="E306" s="132"/>
      <c r="F306" s="128"/>
      <c r="G306" s="127"/>
      <c r="H306" s="119"/>
      <c r="I306" s="127"/>
      <c r="J306" s="129"/>
      <c r="K306" s="129"/>
      <c r="L306" s="130"/>
      <c r="M306" s="130"/>
      <c r="N306" s="130"/>
      <c r="O306" s="130"/>
      <c r="P306" s="129"/>
      <c r="Q306" s="127"/>
      <c r="R306" s="119"/>
      <c r="S306" s="132"/>
      <c r="T306" s="133"/>
      <c r="U306" s="134"/>
      <c r="V306" s="135"/>
      <c r="W306" s="135"/>
      <c r="X306" s="135"/>
      <c r="Y306" s="135"/>
      <c r="Z306" s="135"/>
      <c r="AA306" s="135"/>
      <c r="AB306" s="135"/>
      <c r="AC306" s="135"/>
    </row>
    <row r="307" ht="20.25" customHeight="1" outlineLevel="1">
      <c r="B307" s="125"/>
      <c r="C307" s="130"/>
      <c r="D307" s="127"/>
      <c r="E307" s="132"/>
      <c r="F307" s="128"/>
      <c r="G307" s="127"/>
      <c r="H307" s="119"/>
      <c r="I307" s="127"/>
      <c r="J307" s="129"/>
      <c r="K307" s="129"/>
      <c r="L307" s="130"/>
      <c r="M307" s="130"/>
      <c r="N307" s="130"/>
      <c r="O307" s="130"/>
      <c r="P307" s="129"/>
      <c r="Q307" s="127"/>
      <c r="R307" s="119"/>
      <c r="S307" s="132"/>
      <c r="T307" s="133"/>
      <c r="U307" s="134"/>
      <c r="V307" s="135"/>
      <c r="W307" s="135"/>
      <c r="X307" s="135"/>
      <c r="Y307" s="135"/>
      <c r="Z307" s="135"/>
      <c r="AA307" s="135"/>
      <c r="AB307" s="135"/>
      <c r="AC307" s="135"/>
    </row>
    <row r="308" ht="20.25" customHeight="1" outlineLevel="1">
      <c r="B308" s="125"/>
      <c r="C308" s="130"/>
      <c r="D308" s="127"/>
      <c r="E308" s="132"/>
      <c r="F308" s="128"/>
      <c r="G308" s="127"/>
      <c r="H308" s="119"/>
      <c r="I308" s="127"/>
      <c r="J308" s="129"/>
      <c r="K308" s="129"/>
      <c r="L308" s="130"/>
      <c r="M308" s="130"/>
      <c r="N308" s="130"/>
      <c r="O308" s="130"/>
      <c r="P308" s="129"/>
      <c r="Q308" s="127"/>
      <c r="R308" s="119"/>
      <c r="S308" s="132"/>
      <c r="T308" s="133"/>
      <c r="U308" s="134"/>
      <c r="V308" s="135"/>
      <c r="W308" s="135"/>
      <c r="X308" s="135"/>
      <c r="Y308" s="135"/>
      <c r="Z308" s="135"/>
      <c r="AA308" s="135"/>
      <c r="AB308" s="135"/>
      <c r="AC308" s="135"/>
    </row>
    <row r="309" ht="20.25" customHeight="1" outlineLevel="1">
      <c r="B309" s="125"/>
      <c r="C309" s="130"/>
      <c r="D309" s="127"/>
      <c r="E309" s="132"/>
      <c r="F309" s="128"/>
      <c r="G309" s="127"/>
      <c r="H309" s="119"/>
      <c r="I309" s="127"/>
      <c r="J309" s="129"/>
      <c r="K309" s="129"/>
      <c r="L309" s="130"/>
      <c r="M309" s="130"/>
      <c r="N309" s="130"/>
      <c r="O309" s="130"/>
      <c r="P309" s="129"/>
      <c r="Q309" s="127"/>
      <c r="R309" s="119"/>
      <c r="S309" s="132"/>
      <c r="T309" s="133"/>
      <c r="U309" s="134"/>
      <c r="V309" s="135"/>
      <c r="W309" s="135"/>
      <c r="X309" s="135"/>
      <c r="Y309" s="135"/>
      <c r="Z309" s="135"/>
      <c r="AA309" s="135"/>
      <c r="AB309" s="135"/>
      <c r="AC309" s="135"/>
    </row>
    <row r="310" ht="20.25" customHeight="1" outlineLevel="1">
      <c r="B310" s="125"/>
      <c r="C310" s="130"/>
      <c r="D310" s="127"/>
      <c r="E310" s="132"/>
      <c r="F310" s="128"/>
      <c r="G310" s="127"/>
      <c r="H310" s="119"/>
      <c r="I310" s="127"/>
      <c r="J310" s="129"/>
      <c r="K310" s="129"/>
      <c r="L310" s="130"/>
      <c r="M310" s="130"/>
      <c r="N310" s="130"/>
      <c r="O310" s="130"/>
      <c r="P310" s="129"/>
      <c r="Q310" s="127"/>
      <c r="R310" s="119"/>
      <c r="S310" s="132"/>
      <c r="T310" s="133"/>
      <c r="U310" s="134"/>
      <c r="V310" s="135"/>
      <c r="W310" s="135"/>
      <c r="X310" s="135"/>
      <c r="Y310" s="135"/>
      <c r="Z310" s="135"/>
      <c r="AA310" s="135"/>
      <c r="AB310" s="135"/>
      <c r="AC310" s="135"/>
    </row>
    <row r="311" ht="20.25" customHeight="1" outlineLevel="1">
      <c r="B311" s="125"/>
      <c r="C311" s="130"/>
      <c r="D311" s="127"/>
      <c r="E311" s="132"/>
      <c r="F311" s="128"/>
      <c r="G311" s="127"/>
      <c r="H311" s="119"/>
      <c r="I311" s="127"/>
      <c r="J311" s="129"/>
      <c r="K311" s="129"/>
      <c r="L311" s="130"/>
      <c r="M311" s="130"/>
      <c r="N311" s="130"/>
      <c r="O311" s="130"/>
      <c r="P311" s="129"/>
      <c r="Q311" s="127"/>
      <c r="R311" s="119"/>
      <c r="S311" s="132"/>
      <c r="T311" s="133"/>
      <c r="U311" s="134"/>
      <c r="V311" s="135"/>
      <c r="W311" s="135"/>
      <c r="X311" s="135"/>
      <c r="Y311" s="135"/>
      <c r="Z311" s="135"/>
      <c r="AA311" s="135"/>
      <c r="AB311" s="135"/>
      <c r="AC311" s="135"/>
    </row>
    <row r="312" ht="20.25" customHeight="1" outlineLevel="1">
      <c r="B312" s="125"/>
      <c r="C312" s="130"/>
      <c r="D312" s="127"/>
      <c r="E312" s="132"/>
      <c r="F312" s="128"/>
      <c r="G312" s="127"/>
      <c r="H312" s="119"/>
      <c r="I312" s="127"/>
      <c r="J312" s="129"/>
      <c r="K312" s="129"/>
      <c r="L312" s="130"/>
      <c r="M312" s="130"/>
      <c r="N312" s="130"/>
      <c r="O312" s="130"/>
      <c r="P312" s="129"/>
      <c r="Q312" s="127"/>
      <c r="R312" s="119"/>
      <c r="S312" s="132"/>
      <c r="T312" s="133"/>
      <c r="U312" s="134"/>
      <c r="V312" s="135"/>
      <c r="W312" s="135"/>
      <c r="X312" s="135"/>
      <c r="Y312" s="135"/>
      <c r="Z312" s="135"/>
      <c r="AA312" s="135"/>
      <c r="AB312" s="135"/>
      <c r="AC312" s="135"/>
    </row>
    <row r="313" ht="20.25" customHeight="1" outlineLevel="1">
      <c r="B313" s="125"/>
      <c r="C313" s="130"/>
      <c r="D313" s="127"/>
      <c r="E313" s="132"/>
      <c r="F313" s="128"/>
      <c r="G313" s="127"/>
      <c r="H313" s="119"/>
      <c r="I313" s="127"/>
      <c r="J313" s="129"/>
      <c r="K313" s="129"/>
      <c r="L313" s="130"/>
      <c r="M313" s="130"/>
      <c r="N313" s="130"/>
      <c r="O313" s="130"/>
      <c r="P313" s="129"/>
      <c r="Q313" s="127"/>
      <c r="R313" s="119"/>
      <c r="S313" s="132"/>
      <c r="T313" s="133"/>
      <c r="U313" s="134"/>
      <c r="V313" s="135"/>
      <c r="W313" s="135"/>
      <c r="X313" s="135"/>
      <c r="Y313" s="135"/>
      <c r="Z313" s="135"/>
      <c r="AA313" s="135"/>
      <c r="AB313" s="135"/>
      <c r="AC313" s="135"/>
    </row>
    <row r="314" ht="20.25" customHeight="1" outlineLevel="1">
      <c r="B314" s="125"/>
      <c r="C314" s="130"/>
      <c r="D314" s="127"/>
      <c r="E314" s="132"/>
      <c r="F314" s="128"/>
      <c r="G314" s="127"/>
      <c r="H314" s="119"/>
      <c r="I314" s="127"/>
      <c r="J314" s="129"/>
      <c r="K314" s="129"/>
      <c r="L314" s="130"/>
      <c r="M314" s="130"/>
      <c r="N314" s="130"/>
      <c r="O314" s="130"/>
      <c r="P314" s="129"/>
      <c r="Q314" s="127"/>
      <c r="R314" s="119"/>
      <c r="S314" s="132"/>
      <c r="T314" s="133"/>
      <c r="U314" s="134"/>
      <c r="V314" s="135"/>
      <c r="W314" s="135"/>
      <c r="X314" s="135"/>
      <c r="Y314" s="135"/>
      <c r="Z314" s="135"/>
      <c r="AA314" s="135"/>
      <c r="AB314" s="135"/>
      <c r="AC314" s="135"/>
    </row>
    <row r="315" ht="20.25" customHeight="1" outlineLevel="1">
      <c r="B315" s="125"/>
      <c r="C315" s="130"/>
      <c r="D315" s="127"/>
      <c r="E315" s="132"/>
      <c r="F315" s="128"/>
      <c r="G315" s="127"/>
      <c r="H315" s="119"/>
      <c r="I315" s="127"/>
      <c r="J315" s="129"/>
      <c r="K315" s="129"/>
      <c r="L315" s="130"/>
      <c r="M315" s="130"/>
      <c r="N315" s="130"/>
      <c r="O315" s="130"/>
      <c r="P315" s="129"/>
      <c r="Q315" s="127"/>
      <c r="R315" s="119"/>
      <c r="S315" s="132"/>
      <c r="T315" s="133"/>
      <c r="U315" s="134"/>
      <c r="V315" s="135"/>
      <c r="W315" s="135"/>
      <c r="X315" s="135"/>
      <c r="Y315" s="135"/>
      <c r="Z315" s="135"/>
      <c r="AA315" s="135"/>
      <c r="AB315" s="135"/>
      <c r="AC315" s="135"/>
    </row>
    <row r="316" ht="20.25" customHeight="1" outlineLevel="1">
      <c r="B316" s="125"/>
      <c r="C316" s="130"/>
      <c r="D316" s="127"/>
      <c r="E316" s="132"/>
      <c r="F316" s="128"/>
      <c r="G316" s="127"/>
      <c r="H316" s="119"/>
      <c r="I316" s="127"/>
      <c r="J316" s="129"/>
      <c r="K316" s="129"/>
      <c r="L316" s="130"/>
      <c r="M316" s="130"/>
      <c r="N316" s="130"/>
      <c r="O316" s="130"/>
      <c r="P316" s="129"/>
      <c r="Q316" s="127"/>
      <c r="R316" s="119"/>
      <c r="S316" s="132"/>
      <c r="T316" s="133"/>
      <c r="U316" s="134"/>
      <c r="V316" s="135"/>
      <c r="W316" s="135"/>
      <c r="X316" s="135"/>
      <c r="Y316" s="135"/>
      <c r="Z316" s="135"/>
      <c r="AA316" s="135"/>
      <c r="AB316" s="135"/>
      <c r="AC316" s="135"/>
    </row>
    <row r="317" ht="20.25" customHeight="1" outlineLevel="1">
      <c r="B317" s="125"/>
      <c r="C317" s="130"/>
      <c r="D317" s="127"/>
      <c r="E317" s="132"/>
      <c r="F317" s="128"/>
      <c r="G317" s="127"/>
      <c r="H317" s="119"/>
      <c r="I317" s="127"/>
      <c r="J317" s="129"/>
      <c r="K317" s="129"/>
      <c r="L317" s="130"/>
      <c r="M317" s="130"/>
      <c r="N317" s="130"/>
      <c r="O317" s="130"/>
      <c r="P317" s="129"/>
      <c r="Q317" s="127"/>
      <c r="R317" s="119"/>
      <c r="S317" s="132"/>
      <c r="T317" s="133"/>
      <c r="U317" s="134"/>
      <c r="V317" s="135"/>
      <c r="W317" s="135"/>
      <c r="X317" s="135"/>
      <c r="Y317" s="135"/>
      <c r="Z317" s="135"/>
      <c r="AA317" s="135"/>
      <c r="AB317" s="135"/>
      <c r="AC317" s="135"/>
    </row>
    <row r="318" ht="20.25" customHeight="1" outlineLevel="1">
      <c r="B318" s="125"/>
      <c r="C318" s="130"/>
      <c r="D318" s="127"/>
      <c r="E318" s="132"/>
      <c r="F318" s="128"/>
      <c r="G318" s="127"/>
      <c r="H318" s="119"/>
      <c r="I318" s="127"/>
      <c r="J318" s="129"/>
      <c r="K318" s="129"/>
      <c r="L318" s="130"/>
      <c r="M318" s="130"/>
      <c r="N318" s="130"/>
      <c r="O318" s="130"/>
      <c r="P318" s="129"/>
      <c r="Q318" s="127"/>
      <c r="R318" s="119"/>
      <c r="S318" s="132"/>
      <c r="T318" s="133"/>
      <c r="U318" s="134"/>
      <c r="V318" s="135"/>
      <c r="W318" s="135"/>
      <c r="X318" s="135"/>
      <c r="Y318" s="135"/>
      <c r="Z318" s="135"/>
      <c r="AA318" s="135"/>
      <c r="AB318" s="135"/>
      <c r="AC318" s="135"/>
    </row>
    <row r="319" ht="20.25" customHeight="1" outlineLevel="1">
      <c r="B319" s="125"/>
      <c r="C319" s="130"/>
      <c r="D319" s="127"/>
      <c r="E319" s="132"/>
      <c r="F319" s="128"/>
      <c r="G319" s="127"/>
      <c r="H319" s="119"/>
      <c r="I319" s="127"/>
      <c r="J319" s="129"/>
      <c r="K319" s="129"/>
      <c r="L319" s="130"/>
      <c r="M319" s="130"/>
      <c r="N319" s="130"/>
      <c r="O319" s="130"/>
      <c r="P319" s="129"/>
      <c r="Q319" s="127"/>
      <c r="R319" s="119"/>
      <c r="S319" s="132"/>
      <c r="T319" s="133"/>
      <c r="U319" s="134"/>
      <c r="V319" s="135"/>
      <c r="W319" s="135"/>
      <c r="X319" s="135"/>
      <c r="Y319" s="135"/>
      <c r="Z319" s="135"/>
      <c r="AA319" s="135"/>
      <c r="AB319" s="135"/>
      <c r="AC319" s="135"/>
    </row>
    <row r="320" ht="20.25" customHeight="1" outlineLevel="1">
      <c r="B320" s="125"/>
      <c r="C320" s="130"/>
      <c r="D320" s="127"/>
      <c r="E320" s="132"/>
      <c r="F320" s="128"/>
      <c r="G320" s="127"/>
      <c r="H320" s="119"/>
      <c r="I320" s="127"/>
      <c r="J320" s="129"/>
      <c r="K320" s="129"/>
      <c r="L320" s="130"/>
      <c r="M320" s="130"/>
      <c r="N320" s="130"/>
      <c r="O320" s="130"/>
      <c r="P320" s="129"/>
      <c r="Q320" s="127"/>
      <c r="R320" s="119"/>
      <c r="S320" s="132"/>
      <c r="T320" s="133"/>
      <c r="U320" s="134"/>
      <c r="V320" s="135"/>
      <c r="W320" s="135"/>
      <c r="X320" s="135"/>
      <c r="Y320" s="135"/>
      <c r="Z320" s="135"/>
      <c r="AA320" s="135"/>
      <c r="AB320" s="135"/>
      <c r="AC320" s="135"/>
    </row>
    <row r="321" ht="20.25" customHeight="1" outlineLevel="1">
      <c r="B321" s="125"/>
      <c r="C321" s="130"/>
      <c r="D321" s="127"/>
      <c r="E321" s="132"/>
      <c r="F321" s="128"/>
      <c r="G321" s="127"/>
      <c r="H321" s="119"/>
      <c r="I321" s="127"/>
      <c r="J321" s="129"/>
      <c r="K321" s="129"/>
      <c r="L321" s="130"/>
      <c r="M321" s="130"/>
      <c r="N321" s="130"/>
      <c r="O321" s="130"/>
      <c r="P321" s="129"/>
      <c r="Q321" s="127"/>
      <c r="R321" s="119"/>
      <c r="S321" s="132"/>
      <c r="T321" s="133"/>
      <c r="U321" s="134"/>
      <c r="V321" s="135"/>
      <c r="W321" s="135"/>
      <c r="X321" s="135"/>
      <c r="Y321" s="135"/>
      <c r="Z321" s="135"/>
      <c r="AA321" s="135"/>
      <c r="AB321" s="135"/>
      <c r="AC321" s="135"/>
    </row>
    <row r="322" ht="20.25" customHeight="1" outlineLevel="1">
      <c r="B322" s="125"/>
      <c r="C322" s="130"/>
      <c r="D322" s="127"/>
      <c r="E322" s="132"/>
      <c r="F322" s="128"/>
      <c r="G322" s="127"/>
      <c r="H322" s="119"/>
      <c r="I322" s="127"/>
      <c r="J322" s="129"/>
      <c r="K322" s="129"/>
      <c r="L322" s="130"/>
      <c r="M322" s="130"/>
      <c r="N322" s="130"/>
      <c r="O322" s="130"/>
      <c r="P322" s="129"/>
      <c r="Q322" s="127"/>
      <c r="R322" s="119"/>
      <c r="S322" s="132"/>
      <c r="T322" s="133"/>
      <c r="U322" s="134"/>
      <c r="V322" s="135"/>
      <c r="W322" s="135"/>
      <c r="X322" s="135"/>
      <c r="Y322" s="135"/>
      <c r="Z322" s="135"/>
      <c r="AA322" s="135"/>
      <c r="AB322" s="135"/>
      <c r="AC322" s="135"/>
    </row>
    <row r="323" ht="20.25" customHeight="1" outlineLevel="1">
      <c r="B323" s="125"/>
      <c r="C323" s="130"/>
      <c r="D323" s="127"/>
      <c r="E323" s="132"/>
      <c r="F323" s="128"/>
      <c r="G323" s="127"/>
      <c r="H323" s="119"/>
      <c r="I323" s="127"/>
      <c r="J323" s="129"/>
      <c r="K323" s="129"/>
      <c r="L323" s="130"/>
      <c r="M323" s="130"/>
      <c r="N323" s="130"/>
      <c r="O323" s="130"/>
      <c r="P323" s="129"/>
      <c r="Q323" s="127"/>
      <c r="R323" s="119"/>
      <c r="S323" s="132"/>
      <c r="T323" s="133"/>
      <c r="U323" s="134"/>
      <c r="V323" s="135"/>
      <c r="W323" s="135"/>
      <c r="X323" s="135"/>
      <c r="Y323" s="135"/>
      <c r="Z323" s="135"/>
      <c r="AA323" s="135"/>
      <c r="AB323" s="135"/>
      <c r="AC323" s="135"/>
    </row>
    <row r="324" ht="20.25" customHeight="1" outlineLevel="1">
      <c r="B324" s="125"/>
      <c r="C324" s="130"/>
      <c r="D324" s="127"/>
      <c r="E324" s="132"/>
      <c r="F324" s="128"/>
      <c r="G324" s="127"/>
      <c r="H324" s="119"/>
      <c r="I324" s="127"/>
      <c r="J324" s="129"/>
      <c r="K324" s="129"/>
      <c r="L324" s="130"/>
      <c r="M324" s="130"/>
      <c r="N324" s="130"/>
      <c r="O324" s="130"/>
      <c r="P324" s="129"/>
      <c r="Q324" s="127"/>
      <c r="R324" s="119"/>
      <c r="S324" s="132"/>
      <c r="T324" s="133"/>
      <c r="U324" s="134"/>
      <c r="V324" s="135"/>
      <c r="W324" s="135"/>
      <c r="X324" s="135"/>
      <c r="Y324" s="135"/>
      <c r="Z324" s="135"/>
      <c r="AA324" s="135"/>
      <c r="AB324" s="135"/>
      <c r="AC324" s="135"/>
    </row>
    <row r="325" ht="20.25" customHeight="1" outlineLevel="1">
      <c r="B325" s="125"/>
      <c r="C325" s="130"/>
      <c r="D325" s="127"/>
      <c r="E325" s="132"/>
      <c r="F325" s="128"/>
      <c r="G325" s="127"/>
      <c r="H325" s="119"/>
      <c r="I325" s="127"/>
      <c r="J325" s="129"/>
      <c r="K325" s="129"/>
      <c r="L325" s="130"/>
      <c r="M325" s="130"/>
      <c r="N325" s="130"/>
      <c r="O325" s="130"/>
      <c r="P325" s="129"/>
      <c r="Q325" s="127"/>
      <c r="R325" s="119"/>
      <c r="S325" s="132"/>
      <c r="T325" s="133"/>
      <c r="U325" s="134"/>
      <c r="V325" s="135"/>
      <c r="W325" s="135"/>
      <c r="X325" s="135"/>
      <c r="Y325" s="135"/>
      <c r="Z325" s="135"/>
      <c r="AA325" s="135"/>
      <c r="AB325" s="135"/>
      <c r="AC325" s="135"/>
    </row>
    <row r="326" ht="20.25" customHeight="1" outlineLevel="1">
      <c r="B326" s="125"/>
      <c r="C326" s="130"/>
      <c r="D326" s="127"/>
      <c r="E326" s="132"/>
      <c r="F326" s="128"/>
      <c r="G326" s="127"/>
      <c r="H326" s="119"/>
      <c r="I326" s="127"/>
      <c r="J326" s="129"/>
      <c r="K326" s="129"/>
      <c r="L326" s="130"/>
      <c r="M326" s="130"/>
      <c r="N326" s="130"/>
      <c r="O326" s="130"/>
      <c r="P326" s="129"/>
      <c r="Q326" s="127"/>
      <c r="R326" s="119"/>
      <c r="S326" s="132"/>
      <c r="T326" s="133"/>
      <c r="U326" s="134"/>
      <c r="V326" s="135"/>
      <c r="W326" s="135"/>
      <c r="X326" s="135"/>
      <c r="Y326" s="135"/>
      <c r="Z326" s="135"/>
      <c r="AA326" s="135"/>
      <c r="AB326" s="135"/>
      <c r="AC326" s="135"/>
    </row>
    <row r="327" ht="20.25" customHeight="1" outlineLevel="1">
      <c r="B327" s="125"/>
      <c r="C327" s="130"/>
      <c r="D327" s="127"/>
      <c r="E327" s="132"/>
      <c r="F327" s="128"/>
      <c r="G327" s="127"/>
      <c r="H327" s="119"/>
      <c r="I327" s="127"/>
      <c r="J327" s="129"/>
      <c r="K327" s="129"/>
      <c r="L327" s="130"/>
      <c r="M327" s="130"/>
      <c r="N327" s="130"/>
      <c r="O327" s="130"/>
      <c r="P327" s="129"/>
      <c r="Q327" s="127"/>
      <c r="R327" s="119"/>
      <c r="S327" s="132"/>
      <c r="T327" s="133"/>
      <c r="U327" s="134"/>
      <c r="V327" s="135"/>
      <c r="W327" s="135"/>
      <c r="X327" s="135"/>
      <c r="Y327" s="135"/>
      <c r="Z327" s="135"/>
      <c r="AA327" s="135"/>
      <c r="AB327" s="135"/>
      <c r="AC327" s="135"/>
    </row>
    <row r="328" ht="20.25" customHeight="1" outlineLevel="1">
      <c r="B328" s="125"/>
      <c r="C328" s="130"/>
      <c r="D328" s="127"/>
      <c r="E328" s="132"/>
      <c r="F328" s="128"/>
      <c r="G328" s="127"/>
      <c r="H328" s="119"/>
      <c r="I328" s="127"/>
      <c r="J328" s="129"/>
      <c r="K328" s="129"/>
      <c r="L328" s="130"/>
      <c r="M328" s="130"/>
      <c r="N328" s="130"/>
      <c r="O328" s="130"/>
      <c r="P328" s="129"/>
      <c r="Q328" s="127"/>
      <c r="R328" s="119"/>
      <c r="S328" s="132"/>
      <c r="T328" s="133"/>
      <c r="U328" s="134"/>
      <c r="V328" s="135"/>
      <c r="W328" s="135"/>
      <c r="X328" s="135"/>
      <c r="Y328" s="135"/>
      <c r="Z328" s="135"/>
      <c r="AA328" s="135"/>
      <c r="AB328" s="135"/>
      <c r="AC328" s="135"/>
    </row>
    <row r="329" ht="20.25" customHeight="1" outlineLevel="1">
      <c r="B329" s="125"/>
      <c r="C329" s="130"/>
      <c r="D329" s="127"/>
      <c r="E329" s="132"/>
      <c r="F329" s="128"/>
      <c r="G329" s="127"/>
      <c r="H329" s="119"/>
      <c r="I329" s="127"/>
      <c r="J329" s="129"/>
      <c r="K329" s="129"/>
      <c r="L329" s="130"/>
      <c r="M329" s="130"/>
      <c r="N329" s="130"/>
      <c r="O329" s="130"/>
      <c r="P329" s="129"/>
      <c r="Q329" s="127"/>
      <c r="R329" s="119"/>
      <c r="S329" s="132"/>
      <c r="T329" s="133"/>
      <c r="U329" s="134"/>
      <c r="V329" s="135"/>
      <c r="W329" s="135"/>
      <c r="X329" s="135"/>
      <c r="Y329" s="135"/>
      <c r="Z329" s="135"/>
      <c r="AA329" s="135"/>
      <c r="AB329" s="135"/>
      <c r="AC329" s="135"/>
    </row>
    <row r="330" ht="20.25" customHeight="1" outlineLevel="1">
      <c r="B330" s="125"/>
      <c r="C330" s="130"/>
      <c r="D330" s="127"/>
      <c r="E330" s="132"/>
      <c r="F330" s="128"/>
      <c r="G330" s="127"/>
      <c r="H330" s="119"/>
      <c r="I330" s="127"/>
      <c r="J330" s="129"/>
      <c r="K330" s="129"/>
      <c r="L330" s="130"/>
      <c r="M330" s="130"/>
      <c r="N330" s="130"/>
      <c r="O330" s="130"/>
      <c r="P330" s="129"/>
      <c r="Q330" s="127"/>
      <c r="R330" s="119"/>
      <c r="S330" s="132"/>
      <c r="T330" s="133"/>
      <c r="U330" s="134"/>
      <c r="V330" s="135"/>
      <c r="W330" s="135"/>
      <c r="X330" s="135"/>
      <c r="Y330" s="135"/>
      <c r="Z330" s="135"/>
      <c r="AA330" s="135"/>
      <c r="AB330" s="135"/>
      <c r="AC330" s="135"/>
    </row>
    <row r="331" ht="20.25" customHeight="1" outlineLevel="1">
      <c r="B331" s="125"/>
      <c r="C331" s="130"/>
      <c r="D331" s="127"/>
      <c r="E331" s="132"/>
      <c r="F331" s="128"/>
      <c r="G331" s="127"/>
      <c r="H331" s="119"/>
      <c r="I331" s="127"/>
      <c r="J331" s="129"/>
      <c r="K331" s="129"/>
      <c r="L331" s="130"/>
      <c r="M331" s="130"/>
      <c r="N331" s="130"/>
      <c r="O331" s="130"/>
      <c r="P331" s="129"/>
      <c r="Q331" s="127"/>
      <c r="R331" s="119"/>
      <c r="S331" s="132"/>
      <c r="T331" s="133"/>
      <c r="U331" s="134"/>
      <c r="V331" s="135"/>
      <c r="W331" s="135"/>
      <c r="X331" s="135"/>
      <c r="Y331" s="135"/>
      <c r="Z331" s="135"/>
      <c r="AA331" s="135"/>
      <c r="AB331" s="135"/>
      <c r="AC331" s="135"/>
    </row>
    <row r="332" ht="20.25" customHeight="1" outlineLevel="1">
      <c r="B332" s="125"/>
      <c r="C332" s="130"/>
      <c r="D332" s="127"/>
      <c r="E332" s="132"/>
      <c r="F332" s="128"/>
      <c r="G332" s="127"/>
      <c r="H332" s="119"/>
      <c r="I332" s="127"/>
      <c r="J332" s="129"/>
      <c r="K332" s="129"/>
      <c r="L332" s="130"/>
      <c r="M332" s="130"/>
      <c r="N332" s="130"/>
      <c r="O332" s="130"/>
      <c r="P332" s="129"/>
      <c r="Q332" s="127"/>
      <c r="R332" s="119"/>
      <c r="S332" s="132"/>
      <c r="T332" s="133"/>
      <c r="U332" s="134"/>
      <c r="V332" s="135"/>
      <c r="W332" s="135"/>
      <c r="X332" s="135"/>
      <c r="Y332" s="135"/>
      <c r="Z332" s="135"/>
      <c r="AA332" s="135"/>
      <c r="AB332" s="135"/>
      <c r="AC332" s="135"/>
    </row>
    <row r="333" ht="20.25" customHeight="1" outlineLevel="1">
      <c r="B333" s="125"/>
      <c r="C333" s="130"/>
      <c r="D333" s="127"/>
      <c r="E333" s="132"/>
      <c r="F333" s="128"/>
      <c r="G333" s="127"/>
      <c r="H333" s="119"/>
      <c r="I333" s="127"/>
      <c r="J333" s="129"/>
      <c r="K333" s="129"/>
      <c r="L333" s="130"/>
      <c r="M333" s="130"/>
      <c r="N333" s="130"/>
      <c r="O333" s="130"/>
      <c r="P333" s="129"/>
      <c r="Q333" s="127"/>
      <c r="R333" s="119"/>
      <c r="S333" s="132"/>
      <c r="T333" s="133"/>
      <c r="U333" s="134"/>
      <c r="V333" s="135"/>
      <c r="W333" s="135"/>
      <c r="X333" s="135"/>
      <c r="Y333" s="135"/>
      <c r="Z333" s="135"/>
      <c r="AA333" s="135"/>
      <c r="AB333" s="135"/>
      <c r="AC333" s="135"/>
    </row>
    <row r="334" ht="20.25" customHeight="1" outlineLevel="1">
      <c r="B334" s="125"/>
      <c r="C334" s="130"/>
      <c r="D334" s="127"/>
      <c r="E334" s="132"/>
      <c r="F334" s="128"/>
      <c r="G334" s="127"/>
      <c r="H334" s="119"/>
      <c r="I334" s="127"/>
      <c r="J334" s="129"/>
      <c r="K334" s="129"/>
      <c r="L334" s="130"/>
      <c r="M334" s="130"/>
      <c r="N334" s="130"/>
      <c r="O334" s="130"/>
      <c r="P334" s="129"/>
      <c r="Q334" s="127"/>
      <c r="R334" s="119"/>
      <c r="S334" s="132"/>
      <c r="T334" s="133"/>
      <c r="U334" s="134"/>
      <c r="V334" s="135"/>
      <c r="W334" s="135"/>
      <c r="X334" s="135"/>
      <c r="Y334" s="135"/>
      <c r="Z334" s="135"/>
      <c r="AA334" s="135"/>
      <c r="AB334" s="135"/>
      <c r="AC334" s="135"/>
    </row>
    <row r="335" ht="20.25" customHeight="1" outlineLevel="1">
      <c r="B335" s="125"/>
      <c r="C335" s="130"/>
      <c r="D335" s="127"/>
      <c r="E335" s="132"/>
      <c r="F335" s="128"/>
      <c r="G335" s="127"/>
      <c r="H335" s="119"/>
      <c r="I335" s="127"/>
      <c r="J335" s="129"/>
      <c r="K335" s="129"/>
      <c r="L335" s="130"/>
      <c r="M335" s="130"/>
      <c r="N335" s="130"/>
      <c r="O335" s="130"/>
      <c r="P335" s="129"/>
      <c r="Q335" s="127"/>
      <c r="R335" s="119"/>
      <c r="S335" s="132"/>
      <c r="T335" s="133"/>
      <c r="U335" s="134"/>
      <c r="V335" s="135"/>
      <c r="W335" s="135"/>
      <c r="X335" s="135"/>
      <c r="Y335" s="135"/>
      <c r="Z335" s="135"/>
      <c r="AA335" s="135"/>
      <c r="AB335" s="135"/>
      <c r="AC335" s="135"/>
    </row>
    <row r="336" ht="20.25" customHeight="1" outlineLevel="1">
      <c r="B336" s="125"/>
      <c r="C336" s="130"/>
      <c r="D336" s="127"/>
      <c r="E336" s="132"/>
      <c r="F336" s="128"/>
      <c r="G336" s="127"/>
      <c r="H336" s="119"/>
      <c r="I336" s="127"/>
      <c r="J336" s="129"/>
      <c r="K336" s="129"/>
      <c r="L336" s="130"/>
      <c r="M336" s="130"/>
      <c r="N336" s="130"/>
      <c r="O336" s="130"/>
      <c r="P336" s="129"/>
      <c r="Q336" s="127"/>
      <c r="R336" s="119"/>
      <c r="S336" s="132"/>
      <c r="T336" s="133"/>
      <c r="U336" s="134"/>
      <c r="V336" s="135"/>
      <c r="W336" s="135"/>
      <c r="X336" s="135"/>
      <c r="Y336" s="135"/>
      <c r="Z336" s="135"/>
      <c r="AA336" s="135"/>
      <c r="AB336" s="135"/>
      <c r="AC336" s="135"/>
    </row>
    <row r="337" ht="20.25" customHeight="1" outlineLevel="1">
      <c r="B337" s="125"/>
      <c r="C337" s="130"/>
      <c r="D337" s="127"/>
      <c r="E337" s="132"/>
      <c r="F337" s="128"/>
      <c r="G337" s="127"/>
      <c r="H337" s="119"/>
      <c r="I337" s="127"/>
      <c r="J337" s="129"/>
      <c r="K337" s="129"/>
      <c r="L337" s="130"/>
      <c r="M337" s="130"/>
      <c r="N337" s="130"/>
      <c r="O337" s="130"/>
      <c r="P337" s="129"/>
      <c r="Q337" s="127"/>
      <c r="R337" s="119"/>
      <c r="S337" s="132"/>
      <c r="T337" s="133"/>
      <c r="U337" s="134"/>
      <c r="V337" s="135"/>
      <c r="W337" s="135"/>
      <c r="X337" s="135"/>
      <c r="Y337" s="135"/>
      <c r="Z337" s="135"/>
      <c r="AA337" s="135"/>
      <c r="AB337" s="135"/>
      <c r="AC337" s="135"/>
    </row>
    <row r="338" ht="20.25" customHeight="1" outlineLevel="1">
      <c r="B338" s="125"/>
      <c r="C338" s="130"/>
      <c r="D338" s="127"/>
      <c r="E338" s="132"/>
      <c r="F338" s="128"/>
      <c r="G338" s="127"/>
      <c r="H338" s="119"/>
      <c r="I338" s="127"/>
      <c r="J338" s="129"/>
      <c r="K338" s="129"/>
      <c r="L338" s="130"/>
      <c r="M338" s="130"/>
      <c r="N338" s="130"/>
      <c r="O338" s="130"/>
      <c r="P338" s="129"/>
      <c r="Q338" s="127"/>
      <c r="R338" s="119"/>
      <c r="S338" s="132"/>
      <c r="T338" s="133"/>
      <c r="U338" s="134"/>
      <c r="V338" s="135"/>
      <c r="W338" s="135"/>
      <c r="X338" s="135"/>
      <c r="Y338" s="135"/>
      <c r="Z338" s="135"/>
      <c r="AA338" s="135"/>
      <c r="AB338" s="135"/>
      <c r="AC338" s="135"/>
    </row>
    <row r="339" ht="20.25" customHeight="1" outlineLevel="1">
      <c r="B339" s="125"/>
      <c r="C339" s="130"/>
      <c r="D339" s="127"/>
      <c r="E339" s="132"/>
      <c r="F339" s="128"/>
      <c r="G339" s="127"/>
      <c r="H339" s="119"/>
      <c r="I339" s="127"/>
      <c r="J339" s="129"/>
      <c r="K339" s="129"/>
      <c r="L339" s="130"/>
      <c r="M339" s="130"/>
      <c r="N339" s="130"/>
      <c r="O339" s="130"/>
      <c r="P339" s="129"/>
      <c r="Q339" s="127"/>
      <c r="R339" s="119"/>
      <c r="S339" s="132"/>
      <c r="T339" s="133"/>
      <c r="U339" s="134"/>
      <c r="V339" s="135"/>
      <c r="W339" s="135"/>
      <c r="X339" s="135"/>
      <c r="Y339" s="135"/>
      <c r="Z339" s="135"/>
      <c r="AA339" s="135"/>
      <c r="AB339" s="135"/>
      <c r="AC339" s="135"/>
    </row>
    <row r="340" ht="20.25" customHeight="1" outlineLevel="1">
      <c r="B340" s="125"/>
      <c r="C340" s="130"/>
      <c r="D340" s="127"/>
      <c r="E340" s="132"/>
      <c r="F340" s="128"/>
      <c r="G340" s="127"/>
      <c r="H340" s="119"/>
      <c r="I340" s="127"/>
      <c r="J340" s="129"/>
      <c r="K340" s="129"/>
      <c r="L340" s="130"/>
      <c r="M340" s="130"/>
      <c r="N340" s="130"/>
      <c r="O340" s="130"/>
      <c r="P340" s="129"/>
      <c r="Q340" s="127"/>
      <c r="R340" s="119"/>
      <c r="S340" s="132"/>
      <c r="T340" s="133"/>
      <c r="U340" s="134"/>
      <c r="V340" s="135"/>
      <c r="W340" s="135"/>
      <c r="X340" s="135"/>
      <c r="Y340" s="135"/>
      <c r="Z340" s="135"/>
      <c r="AA340" s="135"/>
      <c r="AB340" s="135"/>
      <c r="AC340" s="135"/>
    </row>
    <row r="341" ht="20.25" customHeight="1" outlineLevel="1">
      <c r="B341" s="125"/>
      <c r="C341" s="130"/>
      <c r="D341" s="127"/>
      <c r="E341" s="132"/>
      <c r="F341" s="128"/>
      <c r="G341" s="127"/>
      <c r="H341" s="119"/>
      <c r="I341" s="127"/>
      <c r="J341" s="129"/>
      <c r="K341" s="129"/>
      <c r="L341" s="130"/>
      <c r="M341" s="130"/>
      <c r="N341" s="130"/>
      <c r="O341" s="130"/>
      <c r="P341" s="129"/>
      <c r="Q341" s="127"/>
      <c r="R341" s="119"/>
      <c r="S341" s="132"/>
      <c r="T341" s="133"/>
      <c r="U341" s="134"/>
      <c r="V341" s="135"/>
      <c r="W341" s="135"/>
      <c r="X341" s="135"/>
      <c r="Y341" s="135"/>
      <c r="Z341" s="135"/>
      <c r="AA341" s="135"/>
      <c r="AB341" s="135"/>
      <c r="AC341" s="135"/>
    </row>
    <row r="342" ht="20.25" customHeight="1" outlineLevel="1">
      <c r="B342" s="125"/>
      <c r="C342" s="130"/>
      <c r="D342" s="127"/>
      <c r="E342" s="132"/>
      <c r="F342" s="128"/>
      <c r="G342" s="127"/>
      <c r="H342" s="119"/>
      <c r="I342" s="127"/>
      <c r="J342" s="129"/>
      <c r="K342" s="129"/>
      <c r="L342" s="130"/>
      <c r="M342" s="130"/>
      <c r="N342" s="130"/>
      <c r="O342" s="130"/>
      <c r="P342" s="129"/>
      <c r="Q342" s="127"/>
      <c r="R342" s="119"/>
      <c r="S342" s="132"/>
      <c r="T342" s="133"/>
      <c r="U342" s="134"/>
      <c r="V342" s="135"/>
      <c r="W342" s="135"/>
      <c r="X342" s="135"/>
      <c r="Y342" s="135"/>
      <c r="Z342" s="135"/>
      <c r="AA342" s="135"/>
      <c r="AB342" s="135"/>
      <c r="AC342" s="135"/>
    </row>
    <row r="343" ht="20.25" customHeight="1" outlineLevel="1">
      <c r="B343" s="125"/>
      <c r="C343" s="130"/>
      <c r="D343" s="127"/>
      <c r="E343" s="132"/>
      <c r="F343" s="128"/>
      <c r="G343" s="127"/>
      <c r="H343" s="119"/>
      <c r="I343" s="127"/>
      <c r="J343" s="129"/>
      <c r="K343" s="129"/>
      <c r="L343" s="130"/>
      <c r="M343" s="130"/>
      <c r="N343" s="130"/>
      <c r="O343" s="130"/>
      <c r="P343" s="129"/>
      <c r="Q343" s="127"/>
      <c r="R343" s="119"/>
      <c r="S343" s="132"/>
      <c r="T343" s="133"/>
      <c r="U343" s="134"/>
      <c r="V343" s="135"/>
      <c r="W343" s="135"/>
      <c r="X343" s="135"/>
      <c r="Y343" s="135"/>
      <c r="Z343" s="135"/>
      <c r="AA343" s="135"/>
      <c r="AB343" s="135"/>
      <c r="AC343" s="135"/>
    </row>
    <row r="344" ht="20.25" customHeight="1" outlineLevel="1">
      <c r="B344" s="125"/>
      <c r="C344" s="130"/>
      <c r="D344" s="127"/>
      <c r="E344" s="132"/>
      <c r="F344" s="128"/>
      <c r="G344" s="127"/>
      <c r="H344" s="119"/>
      <c r="I344" s="127"/>
      <c r="J344" s="129"/>
      <c r="K344" s="129"/>
      <c r="L344" s="130"/>
      <c r="M344" s="130"/>
      <c r="N344" s="130"/>
      <c r="O344" s="130"/>
      <c r="P344" s="129"/>
      <c r="Q344" s="127"/>
      <c r="R344" s="119"/>
      <c r="S344" s="132"/>
      <c r="T344" s="133"/>
      <c r="U344" s="134"/>
      <c r="V344" s="135"/>
      <c r="W344" s="135"/>
      <c r="X344" s="135"/>
      <c r="Y344" s="135"/>
      <c r="Z344" s="135"/>
      <c r="AA344" s="135"/>
      <c r="AB344" s="135"/>
      <c r="AC344" s="135"/>
    </row>
    <row r="345" ht="20.25" customHeight="1" outlineLevel="1">
      <c r="B345" s="125"/>
      <c r="C345" s="130"/>
      <c r="D345" s="127"/>
      <c r="E345" s="132"/>
      <c r="F345" s="128"/>
      <c r="G345" s="127"/>
      <c r="H345" s="119"/>
      <c r="I345" s="127"/>
      <c r="J345" s="129"/>
      <c r="K345" s="129"/>
      <c r="L345" s="130"/>
      <c r="M345" s="130"/>
      <c r="N345" s="130"/>
      <c r="O345" s="130"/>
      <c r="P345" s="129"/>
      <c r="Q345" s="127"/>
      <c r="R345" s="119"/>
      <c r="S345" s="132"/>
      <c r="T345" s="133"/>
      <c r="U345" s="134"/>
      <c r="V345" s="135"/>
      <c r="W345" s="135"/>
      <c r="X345" s="135"/>
      <c r="Y345" s="135"/>
      <c r="Z345" s="135"/>
      <c r="AA345" s="135"/>
      <c r="AB345" s="135"/>
      <c r="AC345" s="135"/>
    </row>
    <row r="346" ht="20.25" customHeight="1" outlineLevel="1">
      <c r="B346" s="125"/>
      <c r="C346" s="130"/>
      <c r="D346" s="127"/>
      <c r="E346" s="132"/>
      <c r="F346" s="128"/>
      <c r="G346" s="127"/>
      <c r="H346" s="119"/>
      <c r="I346" s="127"/>
      <c r="J346" s="129"/>
      <c r="K346" s="129"/>
      <c r="L346" s="130"/>
      <c r="M346" s="130"/>
      <c r="N346" s="130"/>
      <c r="O346" s="130"/>
      <c r="P346" s="129"/>
      <c r="Q346" s="127"/>
      <c r="R346" s="119"/>
      <c r="S346" s="132"/>
      <c r="T346" s="133"/>
      <c r="U346" s="134"/>
      <c r="V346" s="135"/>
      <c r="W346" s="135"/>
      <c r="X346" s="135"/>
      <c r="Y346" s="135"/>
      <c r="Z346" s="135"/>
      <c r="AA346" s="135"/>
      <c r="AB346" s="135"/>
      <c r="AC346" s="135"/>
    </row>
    <row r="347" ht="20.25" customHeight="1" outlineLevel="1">
      <c r="B347" s="125"/>
      <c r="C347" s="130"/>
      <c r="D347" s="127"/>
      <c r="E347" s="132"/>
      <c r="F347" s="128"/>
      <c r="G347" s="127"/>
      <c r="H347" s="119"/>
      <c r="I347" s="127"/>
      <c r="J347" s="129"/>
      <c r="K347" s="129"/>
      <c r="L347" s="130"/>
      <c r="M347" s="130"/>
      <c r="N347" s="130"/>
      <c r="O347" s="130"/>
      <c r="P347" s="129"/>
      <c r="Q347" s="127"/>
      <c r="R347" s="119"/>
      <c r="S347" s="132"/>
      <c r="T347" s="133"/>
      <c r="U347" s="134"/>
      <c r="V347" s="135"/>
      <c r="W347" s="135"/>
      <c r="X347" s="135"/>
      <c r="Y347" s="135"/>
      <c r="Z347" s="135"/>
      <c r="AA347" s="135"/>
      <c r="AB347" s="135"/>
      <c r="AC347" s="135"/>
    </row>
    <row r="348" ht="20.25" customHeight="1" outlineLevel="1">
      <c r="B348" s="125"/>
      <c r="C348" s="130"/>
      <c r="D348" s="127"/>
      <c r="E348" s="132"/>
      <c r="F348" s="128"/>
      <c r="G348" s="127"/>
      <c r="H348" s="119"/>
      <c r="I348" s="127"/>
      <c r="J348" s="129"/>
      <c r="K348" s="129"/>
      <c r="L348" s="130"/>
      <c r="M348" s="130"/>
      <c r="N348" s="130"/>
      <c r="O348" s="130"/>
      <c r="P348" s="129"/>
      <c r="Q348" s="127"/>
      <c r="R348" s="119"/>
      <c r="S348" s="132"/>
      <c r="T348" s="133"/>
      <c r="U348" s="134"/>
      <c r="V348" s="135"/>
      <c r="W348" s="135"/>
      <c r="X348" s="135"/>
      <c r="Y348" s="135"/>
      <c r="Z348" s="135"/>
      <c r="AA348" s="135"/>
      <c r="AB348" s="135"/>
      <c r="AC348" s="135"/>
    </row>
    <row r="349" ht="20.25" customHeight="1" outlineLevel="1">
      <c r="B349" s="125"/>
      <c r="C349" s="130"/>
      <c r="D349" s="127"/>
      <c r="E349" s="132"/>
      <c r="F349" s="128"/>
      <c r="G349" s="127"/>
      <c r="H349" s="119"/>
      <c r="I349" s="127"/>
      <c r="J349" s="129"/>
      <c r="K349" s="129"/>
      <c r="L349" s="130"/>
      <c r="M349" s="130"/>
      <c r="N349" s="130"/>
      <c r="O349" s="130"/>
      <c r="P349" s="129"/>
      <c r="Q349" s="127"/>
      <c r="R349" s="119"/>
      <c r="S349" s="132"/>
      <c r="T349" s="133"/>
      <c r="U349" s="134"/>
      <c r="V349" s="135"/>
      <c r="W349" s="135"/>
      <c r="X349" s="135"/>
      <c r="Y349" s="135"/>
      <c r="Z349" s="135"/>
      <c r="AA349" s="135"/>
      <c r="AB349" s="135"/>
      <c r="AC349" s="135"/>
    </row>
    <row r="350" ht="20.25" customHeight="1" outlineLevel="1">
      <c r="B350" s="125"/>
      <c r="C350" s="130"/>
      <c r="D350" s="127"/>
      <c r="E350" s="132"/>
      <c r="F350" s="128"/>
      <c r="G350" s="127"/>
      <c r="H350" s="119"/>
      <c r="I350" s="127"/>
      <c r="J350" s="129"/>
      <c r="K350" s="129"/>
      <c r="L350" s="130"/>
      <c r="M350" s="130"/>
      <c r="N350" s="130"/>
      <c r="O350" s="130"/>
      <c r="P350" s="129"/>
      <c r="Q350" s="127"/>
      <c r="R350" s="119"/>
      <c r="S350" s="132"/>
      <c r="T350" s="133"/>
      <c r="U350" s="134"/>
      <c r="V350" s="135"/>
      <c r="W350" s="135"/>
      <c r="X350" s="135"/>
      <c r="Y350" s="135"/>
      <c r="Z350" s="135"/>
      <c r="AA350" s="135"/>
      <c r="AB350" s="135"/>
      <c r="AC350" s="135"/>
    </row>
    <row r="351" ht="20.25" customHeight="1" outlineLevel="1">
      <c r="B351" s="125"/>
      <c r="C351" s="130"/>
      <c r="D351" s="127"/>
      <c r="E351" s="132"/>
      <c r="F351" s="128"/>
      <c r="G351" s="127"/>
      <c r="H351" s="119"/>
      <c r="I351" s="127"/>
      <c r="J351" s="129"/>
      <c r="K351" s="129"/>
      <c r="L351" s="130"/>
      <c r="M351" s="130"/>
      <c r="N351" s="130"/>
      <c r="O351" s="130"/>
      <c r="P351" s="129"/>
      <c r="Q351" s="127"/>
      <c r="R351" s="119"/>
      <c r="S351" s="132"/>
      <c r="T351" s="133"/>
      <c r="U351" s="134"/>
      <c r="V351" s="135"/>
      <c r="W351" s="135"/>
      <c r="X351" s="135"/>
      <c r="Y351" s="135"/>
      <c r="Z351" s="135"/>
      <c r="AA351" s="135"/>
      <c r="AB351" s="135"/>
      <c r="AC351" s="135"/>
    </row>
    <row r="352" ht="20.25" customHeight="1" outlineLevel="1">
      <c r="B352" s="125"/>
      <c r="C352" s="130"/>
      <c r="D352" s="127"/>
      <c r="E352" s="132"/>
      <c r="F352" s="128"/>
      <c r="G352" s="127"/>
      <c r="H352" s="119"/>
      <c r="I352" s="127"/>
      <c r="J352" s="129"/>
      <c r="K352" s="129"/>
      <c r="L352" s="130"/>
      <c r="M352" s="130"/>
      <c r="N352" s="130"/>
      <c r="O352" s="130"/>
      <c r="P352" s="129"/>
      <c r="Q352" s="127"/>
      <c r="R352" s="119"/>
      <c r="S352" s="132"/>
      <c r="T352" s="133"/>
      <c r="U352" s="134"/>
      <c r="V352" s="135"/>
      <c r="W352" s="135"/>
      <c r="X352" s="135"/>
      <c r="Y352" s="135"/>
      <c r="Z352" s="135"/>
      <c r="AA352" s="135"/>
      <c r="AB352" s="135"/>
      <c r="AC352" s="135"/>
    </row>
    <row r="353" ht="20.25" customHeight="1" outlineLevel="1">
      <c r="B353" s="125"/>
      <c r="C353" s="130"/>
      <c r="D353" s="127"/>
      <c r="E353" s="132"/>
      <c r="F353" s="128"/>
      <c r="G353" s="127"/>
      <c r="H353" s="119"/>
      <c r="I353" s="127"/>
      <c r="J353" s="129"/>
      <c r="K353" s="129"/>
      <c r="L353" s="130"/>
      <c r="M353" s="130"/>
      <c r="N353" s="130"/>
      <c r="O353" s="130"/>
      <c r="P353" s="129"/>
      <c r="Q353" s="127"/>
      <c r="R353" s="119"/>
      <c r="S353" s="132"/>
      <c r="T353" s="133"/>
      <c r="U353" s="134"/>
      <c r="V353" s="135"/>
      <c r="W353" s="135"/>
      <c r="X353" s="135"/>
      <c r="Y353" s="135"/>
      <c r="Z353" s="135"/>
      <c r="AA353" s="135"/>
      <c r="AB353" s="135"/>
      <c r="AC353" s="135"/>
    </row>
    <row r="354" ht="20.25" customHeight="1" outlineLevel="1">
      <c r="B354" s="125"/>
      <c r="C354" s="130"/>
      <c r="D354" s="127"/>
      <c r="E354" s="132"/>
      <c r="F354" s="128"/>
      <c r="G354" s="127"/>
      <c r="H354" s="119"/>
      <c r="I354" s="127"/>
      <c r="J354" s="129"/>
      <c r="K354" s="129"/>
      <c r="L354" s="130"/>
      <c r="M354" s="130"/>
      <c r="N354" s="130"/>
      <c r="O354" s="130"/>
      <c r="P354" s="129"/>
      <c r="Q354" s="127"/>
      <c r="R354" s="119"/>
      <c r="S354" s="132"/>
      <c r="T354" s="133"/>
      <c r="U354" s="134"/>
      <c r="V354" s="135"/>
      <c r="W354" s="135"/>
      <c r="X354" s="135"/>
      <c r="Y354" s="135"/>
      <c r="Z354" s="135"/>
      <c r="AA354" s="135"/>
      <c r="AB354" s="135"/>
      <c r="AC354" s="135"/>
    </row>
    <row r="355" ht="20.25" customHeight="1" outlineLevel="1">
      <c r="B355" s="125"/>
      <c r="C355" s="130"/>
      <c r="D355" s="127"/>
      <c r="E355" s="132"/>
      <c r="F355" s="128"/>
      <c r="G355" s="127"/>
      <c r="H355" s="119"/>
      <c r="I355" s="127"/>
      <c r="J355" s="129"/>
      <c r="K355" s="129"/>
      <c r="L355" s="130"/>
      <c r="M355" s="130"/>
      <c r="N355" s="130"/>
      <c r="O355" s="130"/>
      <c r="P355" s="129"/>
      <c r="Q355" s="127"/>
      <c r="R355" s="119"/>
      <c r="S355" s="132"/>
      <c r="T355" s="133"/>
      <c r="U355" s="134"/>
      <c r="V355" s="135"/>
      <c r="W355" s="135"/>
      <c r="X355" s="135"/>
      <c r="Y355" s="135"/>
      <c r="Z355" s="135"/>
      <c r="AA355" s="135"/>
      <c r="AB355" s="135"/>
      <c r="AC355" s="135"/>
    </row>
    <row r="356" ht="20.25" customHeight="1" outlineLevel="1">
      <c r="B356" s="125"/>
      <c r="C356" s="130"/>
      <c r="D356" s="127"/>
      <c r="E356" s="132"/>
      <c r="F356" s="128"/>
      <c r="G356" s="127"/>
      <c r="H356" s="119"/>
      <c r="I356" s="127"/>
      <c r="J356" s="129"/>
      <c r="K356" s="129"/>
      <c r="L356" s="130"/>
      <c r="M356" s="130"/>
      <c r="N356" s="130"/>
      <c r="O356" s="130"/>
      <c r="P356" s="129"/>
      <c r="Q356" s="127"/>
      <c r="R356" s="119"/>
      <c r="S356" s="132"/>
      <c r="T356" s="133"/>
      <c r="U356" s="134"/>
      <c r="V356" s="135"/>
      <c r="W356" s="135"/>
      <c r="X356" s="135"/>
      <c r="Y356" s="135"/>
      <c r="Z356" s="135"/>
      <c r="AA356" s="135"/>
      <c r="AB356" s="135"/>
      <c r="AC356" s="135"/>
    </row>
    <row r="357" ht="20.25" customHeight="1" outlineLevel="1">
      <c r="B357" s="125"/>
      <c r="C357" s="130"/>
      <c r="D357" s="127"/>
      <c r="E357" s="132"/>
      <c r="F357" s="128"/>
      <c r="G357" s="127"/>
      <c r="H357" s="119"/>
      <c r="I357" s="127"/>
      <c r="J357" s="129"/>
      <c r="K357" s="129"/>
      <c r="L357" s="130"/>
      <c r="M357" s="130"/>
      <c r="N357" s="130"/>
      <c r="O357" s="130"/>
      <c r="P357" s="129"/>
      <c r="Q357" s="127"/>
      <c r="R357" s="119"/>
      <c r="S357" s="132"/>
      <c r="T357" s="133"/>
      <c r="U357" s="134"/>
      <c r="V357" s="135"/>
      <c r="W357" s="135"/>
      <c r="X357" s="135"/>
      <c r="Y357" s="135"/>
      <c r="Z357" s="135"/>
      <c r="AA357" s="135"/>
      <c r="AB357" s="135"/>
      <c r="AC357" s="135"/>
    </row>
    <row r="358" ht="20.25" customHeight="1" outlineLevel="1">
      <c r="B358" s="125"/>
      <c r="C358" s="130"/>
      <c r="D358" s="127"/>
      <c r="E358" s="132"/>
      <c r="F358" s="128"/>
      <c r="G358" s="127"/>
      <c r="H358" s="119"/>
      <c r="I358" s="127"/>
      <c r="J358" s="129"/>
      <c r="K358" s="129"/>
      <c r="L358" s="130"/>
      <c r="M358" s="130"/>
      <c r="N358" s="130"/>
      <c r="O358" s="130"/>
      <c r="P358" s="129"/>
      <c r="Q358" s="127"/>
      <c r="R358" s="119"/>
      <c r="S358" s="132"/>
      <c r="T358" s="133"/>
      <c r="U358" s="134"/>
      <c r="V358" s="135"/>
      <c r="W358" s="135"/>
      <c r="X358" s="135"/>
      <c r="Y358" s="135"/>
      <c r="Z358" s="135"/>
      <c r="AA358" s="135"/>
      <c r="AB358" s="135"/>
      <c r="AC358" s="135"/>
    </row>
    <row r="359" ht="20.25" customHeight="1" outlineLevel="1">
      <c r="B359" s="125"/>
      <c r="C359" s="130"/>
      <c r="D359" s="127"/>
      <c r="E359" s="132"/>
      <c r="F359" s="128"/>
      <c r="G359" s="127"/>
      <c r="H359" s="119"/>
      <c r="I359" s="127"/>
      <c r="J359" s="129"/>
      <c r="K359" s="129"/>
      <c r="L359" s="130"/>
      <c r="M359" s="130"/>
      <c r="N359" s="130"/>
      <c r="O359" s="130"/>
      <c r="P359" s="129"/>
      <c r="Q359" s="127"/>
      <c r="R359" s="119"/>
      <c r="S359" s="132"/>
      <c r="T359" s="133"/>
      <c r="U359" s="134"/>
      <c r="V359" s="135"/>
      <c r="W359" s="135"/>
      <c r="X359" s="135"/>
      <c r="Y359" s="135"/>
      <c r="Z359" s="135"/>
      <c r="AA359" s="135"/>
      <c r="AB359" s="135"/>
      <c r="AC359" s="135"/>
    </row>
    <row r="360" ht="20.25" customHeight="1" outlineLevel="1">
      <c r="B360" s="125"/>
      <c r="C360" s="130"/>
      <c r="D360" s="127"/>
      <c r="E360" s="132"/>
      <c r="F360" s="128"/>
      <c r="G360" s="127"/>
      <c r="H360" s="119"/>
      <c r="I360" s="127"/>
      <c r="J360" s="129"/>
      <c r="K360" s="129"/>
      <c r="L360" s="130"/>
      <c r="M360" s="130"/>
      <c r="N360" s="130"/>
      <c r="O360" s="130"/>
      <c r="P360" s="129"/>
      <c r="Q360" s="127"/>
      <c r="R360" s="119"/>
      <c r="S360" s="132"/>
      <c r="T360" s="133"/>
      <c r="U360" s="134"/>
      <c r="V360" s="135"/>
      <c r="W360" s="135"/>
      <c r="X360" s="135"/>
      <c r="Y360" s="135"/>
      <c r="Z360" s="135"/>
      <c r="AA360" s="135"/>
      <c r="AB360" s="135"/>
      <c r="AC360" s="135"/>
    </row>
    <row r="361" ht="20.25" customHeight="1" outlineLevel="1">
      <c r="B361" s="125"/>
      <c r="C361" s="130"/>
      <c r="D361" s="127"/>
      <c r="E361" s="132"/>
      <c r="F361" s="128"/>
      <c r="G361" s="127"/>
      <c r="H361" s="119"/>
      <c r="I361" s="127"/>
      <c r="J361" s="129"/>
      <c r="K361" s="129"/>
      <c r="L361" s="130"/>
      <c r="M361" s="130"/>
      <c r="N361" s="130"/>
      <c r="O361" s="130"/>
      <c r="P361" s="129"/>
      <c r="Q361" s="127"/>
      <c r="R361" s="119"/>
      <c r="S361" s="132"/>
      <c r="T361" s="133"/>
      <c r="U361" s="134"/>
      <c r="V361" s="135"/>
      <c r="W361" s="135"/>
      <c r="X361" s="135"/>
      <c r="Y361" s="135"/>
      <c r="Z361" s="135"/>
      <c r="AA361" s="135"/>
      <c r="AB361" s="135"/>
      <c r="AC361" s="135"/>
    </row>
    <row r="362" ht="20.25" customHeight="1" outlineLevel="1">
      <c r="B362" s="125"/>
      <c r="C362" s="130"/>
      <c r="D362" s="127"/>
      <c r="E362" s="132"/>
      <c r="F362" s="128"/>
      <c r="G362" s="127"/>
      <c r="H362" s="119"/>
      <c r="I362" s="127"/>
      <c r="J362" s="129"/>
      <c r="K362" s="129"/>
      <c r="L362" s="130"/>
      <c r="M362" s="130"/>
      <c r="N362" s="130"/>
      <c r="O362" s="130"/>
      <c r="P362" s="129"/>
      <c r="Q362" s="127"/>
      <c r="R362" s="119"/>
      <c r="S362" s="132"/>
      <c r="T362" s="133"/>
      <c r="U362" s="134"/>
      <c r="V362" s="135"/>
      <c r="W362" s="135"/>
      <c r="X362" s="135"/>
      <c r="Y362" s="135"/>
      <c r="Z362" s="135"/>
      <c r="AA362" s="135"/>
      <c r="AB362" s="135"/>
      <c r="AC362" s="135"/>
    </row>
    <row r="363" ht="20.25" customHeight="1" outlineLevel="1">
      <c r="B363" s="125"/>
      <c r="C363" s="130"/>
      <c r="D363" s="127"/>
      <c r="E363" s="132"/>
      <c r="F363" s="128"/>
      <c r="G363" s="127"/>
      <c r="H363" s="119"/>
      <c r="I363" s="127"/>
      <c r="J363" s="129"/>
      <c r="K363" s="129"/>
      <c r="L363" s="130"/>
      <c r="M363" s="130"/>
      <c r="N363" s="130"/>
      <c r="O363" s="130"/>
      <c r="P363" s="129"/>
      <c r="Q363" s="127"/>
      <c r="R363" s="119"/>
      <c r="S363" s="132"/>
      <c r="T363" s="133"/>
      <c r="U363" s="134"/>
      <c r="V363" s="135"/>
      <c r="W363" s="135"/>
      <c r="X363" s="135"/>
      <c r="Y363" s="135"/>
      <c r="Z363" s="135"/>
      <c r="AA363" s="135"/>
      <c r="AB363" s="135"/>
      <c r="AC363" s="135"/>
    </row>
    <row r="364" ht="20.25" customHeight="1" outlineLevel="1">
      <c r="B364" s="125"/>
      <c r="C364" s="130"/>
      <c r="D364" s="127"/>
      <c r="E364" s="132"/>
      <c r="F364" s="128"/>
      <c r="G364" s="127"/>
      <c r="H364" s="119"/>
      <c r="I364" s="127"/>
      <c r="J364" s="129"/>
      <c r="K364" s="129"/>
      <c r="L364" s="130"/>
      <c r="M364" s="130"/>
      <c r="N364" s="130"/>
      <c r="O364" s="130"/>
      <c r="P364" s="129"/>
      <c r="Q364" s="127"/>
      <c r="R364" s="119"/>
      <c r="S364" s="132"/>
      <c r="T364" s="133"/>
      <c r="U364" s="134"/>
      <c r="V364" s="135"/>
      <c r="W364" s="135"/>
      <c r="X364" s="135"/>
      <c r="Y364" s="135"/>
      <c r="Z364" s="135"/>
      <c r="AA364" s="135"/>
      <c r="AB364" s="135"/>
      <c r="AC364" s="135"/>
    </row>
    <row r="365" ht="20.25" customHeight="1" outlineLevel="1">
      <c r="B365" s="125"/>
      <c r="C365" s="130"/>
      <c r="D365" s="127"/>
      <c r="E365" s="132"/>
      <c r="F365" s="128"/>
      <c r="G365" s="127"/>
      <c r="H365" s="119"/>
      <c r="I365" s="127"/>
      <c r="J365" s="129"/>
      <c r="K365" s="129"/>
      <c r="L365" s="130"/>
      <c r="M365" s="130"/>
      <c r="N365" s="130"/>
      <c r="O365" s="130"/>
      <c r="P365" s="129"/>
      <c r="Q365" s="127"/>
      <c r="R365" s="119"/>
      <c r="S365" s="132"/>
      <c r="T365" s="133"/>
      <c r="U365" s="134"/>
      <c r="V365" s="135"/>
      <c r="W365" s="135"/>
      <c r="X365" s="135"/>
      <c r="Y365" s="135"/>
      <c r="Z365" s="135"/>
      <c r="AA365" s="135"/>
      <c r="AB365" s="135"/>
      <c r="AC365" s="135"/>
    </row>
    <row r="366" ht="20.25" customHeight="1" outlineLevel="1">
      <c r="B366" s="125"/>
      <c r="C366" s="130"/>
      <c r="D366" s="127"/>
      <c r="E366" s="132"/>
      <c r="F366" s="128"/>
      <c r="G366" s="127"/>
      <c r="H366" s="119"/>
      <c r="I366" s="127"/>
      <c r="J366" s="129"/>
      <c r="K366" s="129"/>
      <c r="L366" s="130"/>
      <c r="M366" s="130"/>
      <c r="N366" s="130"/>
      <c r="O366" s="130"/>
      <c r="P366" s="129"/>
      <c r="Q366" s="127"/>
      <c r="R366" s="119"/>
      <c r="S366" s="132"/>
      <c r="T366" s="133"/>
      <c r="U366" s="134"/>
      <c r="V366" s="135"/>
      <c r="W366" s="135"/>
      <c r="X366" s="135"/>
      <c r="Y366" s="135"/>
      <c r="Z366" s="135"/>
      <c r="AA366" s="135"/>
      <c r="AB366" s="135"/>
      <c r="AC366" s="135"/>
    </row>
    <row r="367" ht="20.25" customHeight="1" outlineLevel="1">
      <c r="A367" s="46"/>
      <c r="B367" s="125"/>
      <c r="C367" s="130"/>
      <c r="D367" s="127"/>
      <c r="E367" s="132"/>
      <c r="F367" s="128"/>
      <c r="G367" s="127"/>
      <c r="H367" s="119"/>
      <c r="I367" s="127"/>
      <c r="J367" s="129"/>
      <c r="K367" s="129"/>
      <c r="L367" s="130"/>
      <c r="M367" s="130"/>
      <c r="N367" s="130"/>
      <c r="O367" s="130"/>
      <c r="P367" s="129"/>
      <c r="Q367" s="127"/>
      <c r="R367" s="119"/>
      <c r="S367" s="132"/>
      <c r="T367" s="133"/>
      <c r="U367" s="134"/>
      <c r="V367" s="135"/>
      <c r="W367" s="135"/>
      <c r="X367" s="135"/>
      <c r="Y367" s="135"/>
      <c r="Z367" s="135"/>
      <c r="AA367" s="135"/>
      <c r="AB367" s="135"/>
      <c r="AC367" s="135"/>
    </row>
    <row r="368" ht="15.75" customHeight="1">
      <c r="A368" s="85"/>
    </row>
    <row r="369" ht="15.75" customHeight="1">
      <c r="A369" s="85"/>
    </row>
    <row r="370" ht="15.75" customHeight="1">
      <c r="A370" s="85"/>
    </row>
    <row r="371" ht="15.75" customHeight="1">
      <c r="A371" s="85"/>
    </row>
    <row r="372" ht="15.75" customHeight="1">
      <c r="A372" s="85"/>
    </row>
    <row r="373" ht="15.75" customHeight="1">
      <c r="A373" s="85"/>
    </row>
    <row r="374" ht="15.75" customHeight="1">
      <c r="A374" s="85"/>
    </row>
    <row r="375" ht="15.75" customHeight="1">
      <c r="A375" s="85"/>
    </row>
    <row r="376" ht="15.75" customHeight="1">
      <c r="A376" s="85"/>
    </row>
    <row r="377" ht="15.75" customHeight="1">
      <c r="A377" s="85"/>
    </row>
    <row r="378" ht="15.75" customHeight="1">
      <c r="A378" s="85"/>
    </row>
    <row r="379" ht="15.75" customHeight="1">
      <c r="A379" s="85"/>
    </row>
    <row r="380" ht="15.75" customHeight="1">
      <c r="A380" s="85"/>
    </row>
    <row r="381" ht="15.75" customHeight="1">
      <c r="A381" s="85"/>
    </row>
    <row r="382" ht="15.75" customHeight="1">
      <c r="A382" s="85"/>
    </row>
    <row r="383" ht="15.75" customHeight="1">
      <c r="A383" s="85"/>
    </row>
    <row r="384" ht="15.75" customHeight="1">
      <c r="A384" s="85"/>
    </row>
    <row r="385" ht="15.75" customHeight="1">
      <c r="A385" s="85"/>
    </row>
    <row r="386" ht="15.75" customHeight="1">
      <c r="A386" s="85"/>
    </row>
    <row r="387" ht="15.75" customHeight="1">
      <c r="A387" s="85"/>
    </row>
    <row r="388" ht="15.75" customHeight="1">
      <c r="A388" s="85"/>
    </row>
    <row r="389" ht="15.75" customHeight="1">
      <c r="A389" s="85"/>
    </row>
    <row r="390" ht="15.75" customHeight="1">
      <c r="A390" s="85"/>
    </row>
    <row r="391" ht="15.75" customHeight="1">
      <c r="A391" s="85"/>
    </row>
    <row r="392" ht="15.75" customHeight="1">
      <c r="A392" s="85"/>
    </row>
    <row r="393" ht="15.75" customHeight="1">
      <c r="A393" s="85"/>
    </row>
    <row r="394" ht="15.75" customHeight="1">
      <c r="A394" s="85"/>
    </row>
    <row r="395" ht="15.75" customHeight="1">
      <c r="A395" s="85"/>
    </row>
    <row r="396" ht="15.75" customHeight="1">
      <c r="A396" s="85"/>
    </row>
    <row r="397" ht="15.75" customHeight="1">
      <c r="A397" s="85"/>
    </row>
    <row r="398" ht="15.75" customHeight="1">
      <c r="A398" s="85"/>
    </row>
    <row r="399" ht="15.75" customHeight="1">
      <c r="A399" s="85"/>
    </row>
    <row r="400" ht="15.75" customHeight="1">
      <c r="A400" s="85"/>
    </row>
    <row r="401" ht="15.75" customHeight="1">
      <c r="A401" s="85"/>
    </row>
    <row r="402" ht="15.75" customHeight="1">
      <c r="A402" s="85"/>
    </row>
    <row r="403" ht="15.75" customHeight="1">
      <c r="A403" s="85"/>
    </row>
    <row r="404" ht="15.75" customHeight="1">
      <c r="A404" s="85"/>
    </row>
    <row r="405" ht="15.75" customHeight="1">
      <c r="A405" s="85"/>
    </row>
    <row r="406" ht="15.75" customHeight="1">
      <c r="A406" s="85"/>
    </row>
    <row r="407" ht="15.75" customHeight="1">
      <c r="A407" s="85"/>
    </row>
    <row r="408" ht="15.75" customHeight="1">
      <c r="A408" s="85"/>
    </row>
    <row r="409" ht="15.75" customHeight="1">
      <c r="A409" s="85"/>
    </row>
    <row r="410" ht="15.75" customHeight="1">
      <c r="A410" s="85"/>
    </row>
    <row r="411" ht="15.75" customHeight="1">
      <c r="A411" s="85"/>
    </row>
    <row r="412" ht="15.75" customHeight="1">
      <c r="A412" s="85"/>
    </row>
    <row r="413" ht="15.75" customHeight="1">
      <c r="A413" s="85"/>
    </row>
    <row r="414" ht="15.75" customHeight="1">
      <c r="A414" s="85"/>
    </row>
    <row r="415" ht="15.75" customHeight="1">
      <c r="A415" s="85"/>
    </row>
    <row r="416" ht="15.75" customHeight="1">
      <c r="A416" s="85"/>
    </row>
    <row r="417" ht="15.75" customHeight="1">
      <c r="A417" s="85"/>
    </row>
    <row r="418" ht="15.75" customHeight="1">
      <c r="A418" s="85"/>
    </row>
    <row r="419" ht="15.75" customHeight="1">
      <c r="A419" s="85"/>
    </row>
    <row r="420" ht="15.75" customHeight="1">
      <c r="A420" s="85"/>
    </row>
    <row r="421" ht="15.75" customHeight="1">
      <c r="A421" s="85"/>
    </row>
    <row r="422" ht="15.75" customHeight="1">
      <c r="A422" s="85"/>
    </row>
    <row r="423" ht="15.75" customHeight="1">
      <c r="A423" s="85"/>
    </row>
    <row r="424" ht="15.75" customHeight="1">
      <c r="A424" s="85"/>
    </row>
    <row r="425" ht="15.75" customHeight="1">
      <c r="A425" s="85"/>
    </row>
    <row r="426" ht="15.75" customHeight="1">
      <c r="A426" s="85"/>
    </row>
    <row r="427" ht="15.75" customHeight="1">
      <c r="A427" s="85"/>
    </row>
    <row r="428" ht="15.75" customHeight="1">
      <c r="A428" s="85"/>
    </row>
    <row r="429" ht="15.75" customHeight="1">
      <c r="A429" s="85"/>
    </row>
    <row r="430" ht="15.75" customHeight="1">
      <c r="A430" s="85"/>
    </row>
    <row r="431" ht="15.75" customHeight="1">
      <c r="A431" s="85"/>
    </row>
    <row r="432" ht="15.75" customHeight="1">
      <c r="A432" s="85"/>
    </row>
    <row r="433" ht="15.75" customHeight="1">
      <c r="A433" s="85"/>
    </row>
    <row r="434" ht="15.75" customHeight="1">
      <c r="A434" s="85"/>
    </row>
    <row r="435" ht="15.75" customHeight="1">
      <c r="A435" s="85"/>
    </row>
    <row r="436" ht="15.75" customHeight="1">
      <c r="A436" s="85"/>
    </row>
    <row r="437" ht="15.75" customHeight="1">
      <c r="A437" s="85"/>
    </row>
    <row r="438" ht="15.75" customHeight="1">
      <c r="A438" s="85"/>
    </row>
    <row r="439" ht="15.75" customHeight="1">
      <c r="A439" s="85"/>
    </row>
    <row r="440" ht="15.75" customHeight="1">
      <c r="A440" s="85"/>
    </row>
    <row r="441" ht="15.75" customHeight="1">
      <c r="A441" s="85"/>
    </row>
    <row r="442" ht="15.75" customHeight="1">
      <c r="A442" s="85"/>
    </row>
    <row r="443" ht="15.75" customHeight="1">
      <c r="A443" s="85"/>
    </row>
    <row r="444" ht="15.75" customHeight="1">
      <c r="A444" s="85"/>
    </row>
    <row r="445" ht="15.75" customHeight="1">
      <c r="A445" s="85"/>
    </row>
    <row r="446" ht="15.75" customHeight="1">
      <c r="A446" s="85"/>
    </row>
    <row r="447" ht="15.75" customHeight="1">
      <c r="A447" s="85"/>
    </row>
    <row r="448" ht="15.75" customHeight="1">
      <c r="A448" s="85"/>
    </row>
    <row r="449" ht="15.75" customHeight="1">
      <c r="A449" s="85"/>
    </row>
    <row r="450" ht="15.75" customHeight="1">
      <c r="A450" s="85"/>
    </row>
    <row r="451" ht="15.75" customHeight="1">
      <c r="A451" s="85"/>
    </row>
    <row r="452" ht="15.75" customHeight="1">
      <c r="A452" s="85"/>
    </row>
    <row r="453" ht="15.75" customHeight="1">
      <c r="A453" s="85"/>
    </row>
    <row r="454" ht="15.75" customHeight="1">
      <c r="A454" s="85"/>
    </row>
    <row r="455" ht="15.75" customHeight="1">
      <c r="A455" s="85"/>
    </row>
    <row r="456" ht="15.75" customHeight="1">
      <c r="A456" s="85"/>
    </row>
    <row r="457" ht="15.75" customHeight="1">
      <c r="A457" s="85"/>
    </row>
    <row r="458" ht="15.75" customHeight="1">
      <c r="A458" s="85"/>
    </row>
    <row r="459" ht="15.75" customHeight="1">
      <c r="A459" s="85"/>
    </row>
    <row r="460" ht="15.75" customHeight="1">
      <c r="A460" s="85"/>
    </row>
    <row r="461" ht="15.75" customHeight="1">
      <c r="A461" s="85"/>
    </row>
    <row r="462" ht="15.75" customHeight="1">
      <c r="A462" s="85"/>
    </row>
    <row r="463" ht="15.75" customHeight="1">
      <c r="A463" s="85"/>
    </row>
    <row r="464" ht="15.75" customHeight="1">
      <c r="A464" s="85"/>
    </row>
    <row r="465" ht="15.75" customHeight="1">
      <c r="A465" s="85"/>
    </row>
    <row r="466" ht="15.75" customHeight="1">
      <c r="A466" s="85"/>
    </row>
    <row r="467" ht="15.75" customHeight="1">
      <c r="A467" s="85"/>
    </row>
    <row r="468" ht="15.75" customHeight="1">
      <c r="A468" s="85"/>
    </row>
    <row r="469" ht="15.75" customHeight="1">
      <c r="A469" s="85"/>
    </row>
    <row r="470" ht="15.75" customHeight="1">
      <c r="A470" s="85"/>
    </row>
    <row r="471" ht="15.75" customHeight="1">
      <c r="A471" s="85"/>
    </row>
    <row r="472" ht="15.75" customHeight="1">
      <c r="A472" s="85"/>
    </row>
    <row r="473" ht="15.75" customHeight="1">
      <c r="A473" s="85"/>
    </row>
    <row r="474" ht="15.75" customHeight="1">
      <c r="A474" s="85"/>
    </row>
    <row r="475" ht="15.75" customHeight="1">
      <c r="A475" s="85"/>
    </row>
    <row r="476" ht="15.75" customHeight="1">
      <c r="A476" s="85"/>
    </row>
    <row r="477" ht="15.75" customHeight="1">
      <c r="A477" s="85"/>
    </row>
    <row r="478" ht="15.75" customHeight="1">
      <c r="A478" s="85"/>
    </row>
    <row r="479" ht="15.75" customHeight="1">
      <c r="A479" s="85"/>
    </row>
    <row r="480" ht="15.75" customHeight="1">
      <c r="A480" s="85"/>
    </row>
    <row r="481" ht="15.75" customHeight="1">
      <c r="A481" s="85"/>
    </row>
    <row r="482" ht="15.75" customHeight="1">
      <c r="A482" s="85"/>
    </row>
    <row r="483" ht="15.75" customHeight="1">
      <c r="A483" s="85"/>
    </row>
    <row r="484" ht="15.75" customHeight="1">
      <c r="A484" s="85"/>
    </row>
    <row r="485" ht="15.75" customHeight="1">
      <c r="A485" s="85"/>
    </row>
    <row r="486" ht="15.75" customHeight="1">
      <c r="A486" s="85"/>
    </row>
    <row r="487" ht="15.75" customHeight="1">
      <c r="A487" s="85"/>
    </row>
    <row r="488" ht="15.75" customHeight="1">
      <c r="A488" s="85"/>
    </row>
    <row r="489" ht="15.75" customHeight="1">
      <c r="A489" s="85"/>
    </row>
    <row r="490" ht="15.75" customHeight="1">
      <c r="A490" s="85"/>
    </row>
    <row r="491" ht="15.75" customHeight="1">
      <c r="A491" s="85"/>
    </row>
    <row r="492" ht="15.75" customHeight="1">
      <c r="A492" s="85"/>
    </row>
    <row r="493" ht="15.75" customHeight="1">
      <c r="A493" s="85"/>
    </row>
    <row r="494" ht="15.75" customHeight="1">
      <c r="A494" s="85"/>
    </row>
    <row r="495" ht="15.75" customHeight="1">
      <c r="A495" s="85"/>
    </row>
    <row r="496" ht="15.75" customHeight="1">
      <c r="A496" s="85"/>
    </row>
    <row r="497" ht="15.75" customHeight="1">
      <c r="A497" s="85"/>
    </row>
    <row r="498" ht="15.75" customHeight="1">
      <c r="A498" s="85"/>
    </row>
    <row r="499" ht="15.75" customHeight="1">
      <c r="A499" s="85"/>
    </row>
    <row r="500" ht="15.75" customHeight="1">
      <c r="A500" s="85"/>
    </row>
    <row r="501" ht="15.75" customHeight="1">
      <c r="A501" s="85"/>
    </row>
    <row r="502" ht="15.75" customHeight="1">
      <c r="A502" s="85"/>
    </row>
    <row r="503" ht="15.75" customHeight="1">
      <c r="A503" s="85"/>
    </row>
    <row r="504" ht="15.75" customHeight="1">
      <c r="A504" s="85"/>
    </row>
    <row r="505" ht="15.75" customHeight="1">
      <c r="A505" s="85"/>
    </row>
    <row r="506" ht="15.75" customHeight="1">
      <c r="A506" s="85"/>
    </row>
    <row r="507" ht="15.75" customHeight="1">
      <c r="A507" s="85"/>
    </row>
    <row r="508" ht="15.75" customHeight="1">
      <c r="A508" s="85"/>
    </row>
    <row r="509" ht="15.75" customHeight="1">
      <c r="A509" s="85"/>
    </row>
    <row r="510" ht="15.75" customHeight="1">
      <c r="A510" s="85"/>
    </row>
    <row r="511" ht="15.75" customHeight="1">
      <c r="A511" s="85"/>
    </row>
    <row r="512" ht="15.75" customHeight="1">
      <c r="A512" s="85"/>
    </row>
    <row r="513" ht="15.75" customHeight="1">
      <c r="A513" s="85"/>
    </row>
    <row r="514" ht="15.75" customHeight="1">
      <c r="A514" s="85"/>
    </row>
    <row r="515" ht="15.75" customHeight="1">
      <c r="A515" s="85"/>
    </row>
    <row r="516" ht="15.75" customHeight="1">
      <c r="A516" s="85"/>
    </row>
    <row r="517" ht="15.75" customHeight="1">
      <c r="A517" s="85"/>
    </row>
    <row r="518" ht="15.75" customHeight="1">
      <c r="A518" s="85"/>
    </row>
    <row r="519" ht="15.75" customHeight="1">
      <c r="A519" s="85"/>
    </row>
    <row r="520" ht="15.75" customHeight="1">
      <c r="A520" s="85"/>
    </row>
    <row r="521" ht="15.75" customHeight="1">
      <c r="A521" s="85"/>
    </row>
    <row r="522" ht="15.75" customHeight="1">
      <c r="A522" s="85"/>
    </row>
    <row r="523" ht="15.75" customHeight="1">
      <c r="A523" s="85"/>
    </row>
    <row r="524" ht="15.75" customHeight="1">
      <c r="A524" s="85"/>
    </row>
    <row r="525" ht="15.75" customHeight="1">
      <c r="A525" s="85"/>
    </row>
    <row r="526" ht="15.75" customHeight="1">
      <c r="A526" s="85"/>
    </row>
    <row r="527" ht="15.75" customHeight="1">
      <c r="A527" s="85"/>
    </row>
    <row r="528" ht="15.75" customHeight="1">
      <c r="A528" s="85"/>
    </row>
    <row r="529" ht="15.75" customHeight="1">
      <c r="A529" s="85"/>
    </row>
    <row r="530" ht="15.75" customHeight="1">
      <c r="A530" s="85"/>
    </row>
    <row r="531" ht="15.75" customHeight="1">
      <c r="A531" s="85"/>
    </row>
    <row r="532" ht="15.75" customHeight="1">
      <c r="A532" s="85"/>
    </row>
    <row r="533" ht="15.75" customHeight="1">
      <c r="A533" s="85"/>
    </row>
    <row r="534" ht="15.75" customHeight="1">
      <c r="A534" s="85"/>
    </row>
    <row r="535" ht="15.75" customHeight="1">
      <c r="A535" s="85"/>
    </row>
    <row r="536" ht="15.75" customHeight="1">
      <c r="A536" s="85"/>
    </row>
    <row r="537" ht="15.75" customHeight="1">
      <c r="A537" s="85"/>
    </row>
    <row r="538" ht="15.75" customHeight="1">
      <c r="A538" s="85"/>
    </row>
    <row r="539" ht="15.75" customHeight="1">
      <c r="A539" s="85"/>
    </row>
    <row r="540" ht="15.75" customHeight="1">
      <c r="A540" s="85"/>
    </row>
    <row r="541" ht="15.75" customHeight="1">
      <c r="A541" s="85"/>
    </row>
    <row r="542" ht="15.75" customHeight="1">
      <c r="A542" s="85"/>
    </row>
    <row r="543" ht="15.75" customHeight="1">
      <c r="A543" s="85"/>
    </row>
    <row r="544" ht="15.75" customHeight="1">
      <c r="A544" s="85"/>
    </row>
    <row r="545" ht="15.75" customHeight="1">
      <c r="A545" s="85"/>
    </row>
    <row r="546" ht="15.75" customHeight="1">
      <c r="A546" s="85"/>
    </row>
    <row r="547" ht="15.75" customHeight="1">
      <c r="A547" s="85"/>
    </row>
    <row r="548" ht="15.75" customHeight="1">
      <c r="A548" s="85"/>
    </row>
    <row r="549" ht="15.75" customHeight="1">
      <c r="A549" s="85"/>
    </row>
    <row r="550" ht="15.75" customHeight="1">
      <c r="A550" s="85"/>
    </row>
    <row r="551" ht="15.75" customHeight="1">
      <c r="A551" s="85"/>
    </row>
    <row r="552" ht="15.75" customHeight="1">
      <c r="A552" s="85"/>
    </row>
    <row r="553" ht="15.75" customHeight="1">
      <c r="A553" s="85"/>
    </row>
    <row r="554" ht="15.75" customHeight="1">
      <c r="A554" s="85"/>
    </row>
    <row r="555" ht="15.75" customHeight="1">
      <c r="A555" s="85"/>
    </row>
    <row r="556" ht="15.75" customHeight="1">
      <c r="A556" s="85"/>
    </row>
    <row r="557" ht="15.75" customHeight="1">
      <c r="A557" s="85"/>
    </row>
    <row r="558" ht="15.75" customHeight="1">
      <c r="A558" s="85"/>
    </row>
    <row r="559" ht="15.75" customHeight="1">
      <c r="A559" s="85"/>
    </row>
    <row r="560" ht="15.75" customHeight="1">
      <c r="A560" s="85"/>
    </row>
    <row r="561" ht="15.75" customHeight="1">
      <c r="A561" s="85"/>
    </row>
    <row r="562" ht="15.75" customHeight="1">
      <c r="A562" s="85"/>
    </row>
    <row r="563" ht="15.75" customHeight="1">
      <c r="A563" s="85"/>
    </row>
    <row r="564" ht="15.75" customHeight="1">
      <c r="A564" s="85"/>
    </row>
    <row r="565" ht="15.75" customHeight="1">
      <c r="A565" s="85"/>
    </row>
    <row r="566" ht="15.75" customHeight="1">
      <c r="A566" s="85"/>
    </row>
    <row r="567" ht="15.75" customHeight="1">
      <c r="A567" s="85"/>
    </row>
    <row r="568" ht="15.75" customHeight="1">
      <c r="A568" s="85"/>
    </row>
    <row r="569" ht="15.75" customHeight="1">
      <c r="A569" s="85"/>
    </row>
    <row r="570" ht="15.75" customHeight="1">
      <c r="A570" s="85"/>
    </row>
    <row r="571" ht="15.75" customHeight="1">
      <c r="A571" s="85"/>
    </row>
    <row r="572" ht="15.75" customHeight="1">
      <c r="A572" s="85"/>
    </row>
    <row r="573" ht="15.75" customHeight="1">
      <c r="A573" s="85"/>
    </row>
    <row r="574" ht="15.75" customHeight="1">
      <c r="A574" s="85"/>
    </row>
    <row r="575" ht="15.75" customHeight="1">
      <c r="A575" s="85"/>
    </row>
    <row r="576" ht="15.75" customHeight="1">
      <c r="A576" s="85"/>
    </row>
    <row r="577" ht="15.75" customHeight="1">
      <c r="A577" s="85"/>
    </row>
    <row r="578" ht="15.75" customHeight="1">
      <c r="A578" s="85"/>
    </row>
    <row r="579" ht="15.75" customHeight="1">
      <c r="A579" s="85"/>
    </row>
    <row r="580" ht="15.75" customHeight="1">
      <c r="A580" s="85"/>
    </row>
    <row r="581" ht="15.75" customHeight="1">
      <c r="A581" s="85"/>
    </row>
    <row r="582" ht="15.75" customHeight="1">
      <c r="A582" s="85"/>
    </row>
    <row r="583" ht="15.75" customHeight="1">
      <c r="A583" s="85"/>
    </row>
    <row r="584" ht="15.75" customHeight="1">
      <c r="A584" s="85"/>
    </row>
    <row r="585" ht="15.75" customHeight="1">
      <c r="A585" s="85"/>
    </row>
    <row r="586" ht="15.75" customHeight="1">
      <c r="A586" s="85"/>
    </row>
    <row r="587" ht="15.75" customHeight="1">
      <c r="A587" s="85"/>
    </row>
    <row r="588" ht="15.75" customHeight="1">
      <c r="A588" s="85"/>
    </row>
    <row r="589" ht="15.75" customHeight="1">
      <c r="A589" s="85"/>
    </row>
    <row r="590" ht="15.75" customHeight="1">
      <c r="A590" s="85"/>
    </row>
    <row r="591" ht="15.75" customHeight="1">
      <c r="A591" s="85"/>
    </row>
    <row r="592" ht="15.75" customHeight="1">
      <c r="A592" s="85"/>
    </row>
    <row r="593" ht="15.75" customHeight="1">
      <c r="A593" s="85"/>
    </row>
    <row r="594" ht="15.75" customHeight="1">
      <c r="A594" s="85"/>
    </row>
    <row r="595" ht="15.75" customHeight="1">
      <c r="A595" s="85"/>
    </row>
    <row r="596" ht="15.75" customHeight="1">
      <c r="A596" s="85"/>
    </row>
    <row r="597" ht="15.75" customHeight="1">
      <c r="A597" s="85"/>
    </row>
    <row r="598" ht="15.75" customHeight="1">
      <c r="A598" s="85"/>
    </row>
    <row r="599" ht="15.75" customHeight="1">
      <c r="A599" s="85"/>
    </row>
    <row r="600" ht="15.75" customHeight="1">
      <c r="A600" s="85"/>
    </row>
    <row r="601" ht="15.75" customHeight="1">
      <c r="A601" s="85"/>
    </row>
    <row r="602" ht="15.75" customHeight="1">
      <c r="A602" s="85"/>
    </row>
    <row r="603" ht="15.75" customHeight="1">
      <c r="A603" s="85"/>
    </row>
    <row r="604" ht="15.75" customHeight="1">
      <c r="A604" s="85"/>
    </row>
    <row r="605" ht="15.75" customHeight="1">
      <c r="A605" s="85"/>
    </row>
    <row r="606" ht="15.75" customHeight="1">
      <c r="A606" s="85"/>
    </row>
    <row r="607" ht="15.75" customHeight="1">
      <c r="A607" s="85"/>
    </row>
    <row r="608" ht="15.75" customHeight="1">
      <c r="A608" s="85"/>
    </row>
    <row r="609" ht="15.75" customHeight="1">
      <c r="A609" s="85"/>
    </row>
    <row r="610" ht="15.75" customHeight="1">
      <c r="A610" s="85"/>
    </row>
    <row r="611" ht="15.75" customHeight="1">
      <c r="A611" s="85"/>
    </row>
    <row r="612" ht="15.75" customHeight="1">
      <c r="A612" s="85"/>
    </row>
    <row r="613" ht="15.75" customHeight="1">
      <c r="A613" s="85"/>
    </row>
    <row r="614" ht="15.75" customHeight="1">
      <c r="A614" s="85"/>
    </row>
    <row r="615" ht="15.75" customHeight="1">
      <c r="A615" s="85"/>
    </row>
    <row r="616" ht="15.75" customHeight="1">
      <c r="A616" s="85"/>
    </row>
    <row r="617" ht="15.75" customHeight="1">
      <c r="A617" s="85"/>
    </row>
    <row r="618" ht="15.75" customHeight="1">
      <c r="A618" s="85"/>
    </row>
    <row r="619" ht="15.75" customHeight="1">
      <c r="A619" s="85"/>
    </row>
    <row r="620" ht="15.75" customHeight="1">
      <c r="A620" s="85"/>
    </row>
    <row r="621" ht="15.75" customHeight="1">
      <c r="A621" s="85"/>
    </row>
    <row r="622" ht="15.75" customHeight="1">
      <c r="A622" s="85"/>
    </row>
    <row r="623" ht="15.75" customHeight="1">
      <c r="A623" s="85"/>
    </row>
    <row r="624" ht="15.75" customHeight="1">
      <c r="A624" s="85"/>
    </row>
    <row r="625" ht="15.75" customHeight="1">
      <c r="A625" s="85"/>
    </row>
    <row r="626" ht="15.75" customHeight="1">
      <c r="A626" s="85"/>
    </row>
    <row r="627" ht="15.75" customHeight="1">
      <c r="A627" s="85"/>
    </row>
    <row r="628" ht="15.75" customHeight="1">
      <c r="A628" s="85"/>
    </row>
    <row r="629" ht="15.75" customHeight="1">
      <c r="A629" s="85"/>
    </row>
    <row r="630" ht="15.75" customHeight="1">
      <c r="A630" s="85"/>
    </row>
    <row r="631" ht="15.75" customHeight="1">
      <c r="A631" s="85"/>
    </row>
    <row r="632" ht="15.75" customHeight="1">
      <c r="A632" s="85"/>
    </row>
    <row r="633" ht="15.75" customHeight="1">
      <c r="A633" s="85"/>
    </row>
    <row r="634" ht="15.75" customHeight="1">
      <c r="A634" s="85"/>
    </row>
    <row r="635" ht="15.75" customHeight="1">
      <c r="A635" s="85"/>
    </row>
    <row r="636" ht="15.75" customHeight="1">
      <c r="A636" s="85"/>
    </row>
    <row r="637" ht="15.75" customHeight="1">
      <c r="A637" s="85"/>
    </row>
    <row r="638" ht="15.75" customHeight="1">
      <c r="A638" s="85"/>
    </row>
    <row r="639" ht="15.75" customHeight="1">
      <c r="A639" s="85"/>
    </row>
    <row r="640" ht="15.75" customHeight="1">
      <c r="A640" s="85"/>
    </row>
    <row r="641" ht="15.75" customHeight="1">
      <c r="A641" s="85"/>
    </row>
    <row r="642" ht="15.75" customHeight="1">
      <c r="A642" s="85"/>
    </row>
    <row r="643" ht="15.75" customHeight="1">
      <c r="A643" s="85"/>
    </row>
    <row r="644" ht="15.75" customHeight="1">
      <c r="A644" s="85"/>
    </row>
    <row r="645" ht="15.75" customHeight="1">
      <c r="A645" s="85"/>
    </row>
    <row r="646" ht="15.75" customHeight="1">
      <c r="A646" s="85"/>
    </row>
    <row r="647" ht="15.75" customHeight="1">
      <c r="A647" s="85"/>
    </row>
    <row r="648" ht="15.75" customHeight="1">
      <c r="A648" s="85"/>
    </row>
    <row r="649" ht="15.75" customHeight="1">
      <c r="A649" s="85"/>
    </row>
    <row r="650" ht="15.75" customHeight="1">
      <c r="A650" s="85"/>
    </row>
    <row r="651" ht="15.75" customHeight="1">
      <c r="A651" s="85"/>
    </row>
    <row r="652" ht="15.75" customHeight="1">
      <c r="A652" s="85"/>
    </row>
    <row r="653" ht="15.75" customHeight="1">
      <c r="A653" s="85"/>
    </row>
    <row r="654" ht="15.75" customHeight="1">
      <c r="A654" s="85"/>
    </row>
    <row r="655" ht="15.75" customHeight="1">
      <c r="A655" s="85"/>
    </row>
    <row r="656" ht="15.75" customHeight="1">
      <c r="A656" s="85"/>
    </row>
    <row r="657" ht="15.75" customHeight="1">
      <c r="A657" s="85"/>
    </row>
    <row r="658" ht="15.75" customHeight="1">
      <c r="A658" s="85"/>
    </row>
    <row r="659" ht="15.75" customHeight="1">
      <c r="A659" s="85"/>
    </row>
    <row r="660" ht="15.75" customHeight="1">
      <c r="A660" s="85"/>
    </row>
    <row r="661" ht="15.75" customHeight="1">
      <c r="A661" s="85"/>
    </row>
    <row r="662" ht="15.75" customHeight="1">
      <c r="A662" s="85"/>
    </row>
    <row r="663" ht="15.75" customHeight="1">
      <c r="A663" s="85"/>
    </row>
    <row r="664" ht="15.75" customHeight="1">
      <c r="A664" s="85"/>
    </row>
    <row r="665" ht="15.75" customHeight="1">
      <c r="A665" s="85"/>
    </row>
    <row r="666" ht="15.75" customHeight="1">
      <c r="A666" s="85"/>
    </row>
    <row r="667" ht="15.75" customHeight="1">
      <c r="A667" s="85"/>
    </row>
    <row r="668" ht="15.75" customHeight="1">
      <c r="A668" s="85"/>
    </row>
    <row r="669" ht="15.75" customHeight="1">
      <c r="A669" s="85"/>
    </row>
    <row r="670" ht="15.75" customHeight="1">
      <c r="A670" s="85"/>
    </row>
    <row r="671" ht="15.75" customHeight="1">
      <c r="A671" s="85"/>
    </row>
    <row r="672" ht="15.75" customHeight="1">
      <c r="A672" s="85"/>
    </row>
    <row r="673" ht="15.75" customHeight="1">
      <c r="A673" s="85"/>
    </row>
    <row r="674" ht="15.75" customHeight="1">
      <c r="A674" s="85"/>
    </row>
    <row r="675" ht="15.75" customHeight="1">
      <c r="A675" s="85"/>
    </row>
    <row r="676" ht="15.75" customHeight="1">
      <c r="A676" s="85"/>
    </row>
    <row r="677" ht="15.75" customHeight="1">
      <c r="A677" s="85"/>
    </row>
    <row r="678" ht="15.75" customHeight="1">
      <c r="A678" s="85"/>
    </row>
    <row r="679" ht="15.75" customHeight="1">
      <c r="A679" s="85"/>
    </row>
    <row r="680" ht="15.75" customHeight="1">
      <c r="A680" s="85"/>
    </row>
    <row r="681" ht="15.75" customHeight="1">
      <c r="A681" s="85"/>
    </row>
    <row r="682" ht="15.75" customHeight="1">
      <c r="A682" s="85"/>
    </row>
    <row r="683" ht="15.75" customHeight="1">
      <c r="A683" s="85"/>
    </row>
    <row r="684" ht="15.75" customHeight="1">
      <c r="A684" s="85"/>
    </row>
    <row r="685" ht="15.75" customHeight="1">
      <c r="A685" s="85"/>
    </row>
    <row r="686" ht="15.75" customHeight="1">
      <c r="A686" s="85"/>
    </row>
    <row r="687" ht="15.75" customHeight="1">
      <c r="A687" s="85"/>
    </row>
    <row r="688" ht="15.75" customHeight="1">
      <c r="A688" s="85"/>
    </row>
    <row r="689" ht="15.75" customHeight="1">
      <c r="A689" s="85"/>
    </row>
    <row r="690" ht="15.75" customHeight="1">
      <c r="A690" s="85"/>
    </row>
    <row r="691" ht="15.75" customHeight="1">
      <c r="A691" s="85"/>
    </row>
    <row r="692" ht="15.75" customHeight="1">
      <c r="A692" s="85"/>
    </row>
    <row r="693" ht="15.75" customHeight="1">
      <c r="A693" s="85"/>
    </row>
    <row r="694" ht="15.75" customHeight="1">
      <c r="A694" s="85"/>
    </row>
    <row r="695" ht="15.75" customHeight="1">
      <c r="A695" s="85"/>
    </row>
    <row r="696" ht="15.75" customHeight="1">
      <c r="A696" s="85"/>
    </row>
    <row r="697" ht="15.75" customHeight="1">
      <c r="A697" s="85"/>
    </row>
    <row r="698" ht="15.75" customHeight="1">
      <c r="A698" s="85"/>
    </row>
    <row r="699" ht="15.75" customHeight="1">
      <c r="A699" s="85"/>
    </row>
    <row r="700" ht="15.75" customHeight="1">
      <c r="A700" s="85"/>
    </row>
    <row r="701" ht="15.75" customHeight="1">
      <c r="A701" s="85"/>
    </row>
    <row r="702" ht="15.75" customHeight="1">
      <c r="A702" s="85"/>
    </row>
    <row r="703" ht="15.75" customHeight="1">
      <c r="A703" s="85"/>
    </row>
    <row r="704" ht="15.75" customHeight="1">
      <c r="A704" s="85"/>
    </row>
    <row r="705" ht="15.75" customHeight="1">
      <c r="A705" s="85"/>
    </row>
    <row r="706" ht="15.75" customHeight="1">
      <c r="A706" s="85"/>
    </row>
    <row r="707" ht="15.75" customHeight="1">
      <c r="A707" s="85"/>
    </row>
    <row r="708" ht="15.75" customHeight="1">
      <c r="A708" s="85"/>
    </row>
    <row r="709" ht="15.75" customHeight="1">
      <c r="A709" s="85"/>
    </row>
    <row r="710" ht="15.75" customHeight="1">
      <c r="A710" s="85"/>
    </row>
    <row r="711" ht="15.75" customHeight="1">
      <c r="A711" s="85"/>
    </row>
    <row r="712" ht="15.75" customHeight="1">
      <c r="A712" s="85"/>
    </row>
    <row r="713" ht="15.75" customHeight="1">
      <c r="A713" s="85"/>
    </row>
    <row r="714" ht="15.75" customHeight="1">
      <c r="A714" s="85"/>
    </row>
    <row r="715" ht="15.75" customHeight="1">
      <c r="A715" s="85"/>
    </row>
    <row r="716" ht="15.75" customHeight="1">
      <c r="A716" s="85"/>
    </row>
    <row r="717" ht="15.75" customHeight="1">
      <c r="A717" s="85"/>
    </row>
    <row r="718" ht="15.75" customHeight="1">
      <c r="A718" s="85"/>
    </row>
    <row r="719" ht="15.75" customHeight="1">
      <c r="A719" s="85"/>
    </row>
    <row r="720" ht="15.75" customHeight="1">
      <c r="A720" s="85"/>
    </row>
    <row r="721" ht="15.75" customHeight="1">
      <c r="A721" s="85"/>
    </row>
    <row r="722" ht="15.75" customHeight="1">
      <c r="A722" s="85"/>
    </row>
    <row r="723" ht="15.75" customHeight="1">
      <c r="A723" s="85"/>
    </row>
    <row r="724" ht="15.75" customHeight="1">
      <c r="A724" s="85"/>
    </row>
    <row r="725" ht="15.75" customHeight="1">
      <c r="A725" s="85"/>
    </row>
    <row r="726" ht="15.75" customHeight="1">
      <c r="A726" s="85"/>
    </row>
    <row r="727" ht="15.75" customHeight="1">
      <c r="A727" s="85"/>
    </row>
    <row r="728" ht="15.75" customHeight="1">
      <c r="A728" s="85"/>
    </row>
    <row r="729" ht="15.75" customHeight="1">
      <c r="A729" s="85"/>
    </row>
    <row r="730" ht="15.75" customHeight="1">
      <c r="A730" s="85"/>
    </row>
    <row r="731" ht="15.75" customHeight="1">
      <c r="A731" s="85"/>
    </row>
    <row r="732" ht="15.75" customHeight="1">
      <c r="A732" s="85"/>
    </row>
    <row r="733" ht="15.75" customHeight="1">
      <c r="A733" s="85"/>
    </row>
    <row r="734" ht="15.75" customHeight="1">
      <c r="A734" s="85"/>
    </row>
    <row r="735" ht="15.75" customHeight="1">
      <c r="A735" s="85"/>
    </row>
    <row r="736" ht="15.75" customHeight="1">
      <c r="A736" s="85"/>
    </row>
    <row r="737" ht="15.75" customHeight="1">
      <c r="A737" s="85"/>
    </row>
    <row r="738" ht="15.75" customHeight="1">
      <c r="A738" s="85"/>
    </row>
    <row r="739" ht="15.75" customHeight="1">
      <c r="A739" s="85"/>
    </row>
    <row r="740" ht="15.75" customHeight="1">
      <c r="A740" s="85"/>
    </row>
    <row r="741" ht="15.75" customHeight="1">
      <c r="A741" s="85"/>
    </row>
    <row r="742" ht="15.75" customHeight="1">
      <c r="A742" s="85"/>
    </row>
    <row r="743" ht="15.75" customHeight="1">
      <c r="A743" s="85"/>
    </row>
    <row r="744" ht="15.75" customHeight="1">
      <c r="A744" s="85"/>
    </row>
    <row r="745" ht="15.75" customHeight="1">
      <c r="A745" s="85"/>
    </row>
    <row r="746" ht="15.75" customHeight="1">
      <c r="A746" s="85"/>
    </row>
    <row r="747" ht="15.75" customHeight="1">
      <c r="A747" s="85"/>
    </row>
    <row r="748" ht="15.75" customHeight="1">
      <c r="A748" s="85"/>
    </row>
    <row r="749" ht="15.75" customHeight="1">
      <c r="A749" s="85"/>
    </row>
    <row r="750" ht="15.75" customHeight="1">
      <c r="A750" s="85"/>
    </row>
    <row r="751" ht="15.75" customHeight="1">
      <c r="A751" s="85"/>
    </row>
    <row r="752" ht="15.75" customHeight="1">
      <c r="A752" s="85"/>
    </row>
    <row r="753" ht="15.75" customHeight="1">
      <c r="A753" s="85"/>
    </row>
    <row r="754" ht="15.75" customHeight="1">
      <c r="A754" s="85"/>
    </row>
    <row r="755" ht="15.75" customHeight="1">
      <c r="A755" s="85"/>
    </row>
    <row r="756" ht="15.75" customHeight="1">
      <c r="A756" s="85"/>
    </row>
    <row r="757" ht="15.75" customHeight="1">
      <c r="A757" s="85"/>
    </row>
    <row r="758" ht="15.75" customHeight="1">
      <c r="A758" s="85"/>
    </row>
    <row r="759" ht="15.75" customHeight="1">
      <c r="A759" s="85"/>
    </row>
    <row r="760" ht="15.75" customHeight="1">
      <c r="A760" s="85"/>
    </row>
    <row r="761" ht="15.75" customHeight="1">
      <c r="A761" s="85"/>
    </row>
    <row r="762" ht="15.75" customHeight="1">
      <c r="A762" s="85"/>
    </row>
    <row r="763" ht="15.75" customHeight="1">
      <c r="A763" s="85"/>
    </row>
    <row r="764" ht="15.75" customHeight="1">
      <c r="A764" s="85"/>
    </row>
    <row r="765" ht="15.75" customHeight="1">
      <c r="A765" s="85"/>
    </row>
    <row r="766" ht="15.75" customHeight="1">
      <c r="A766" s="85"/>
    </row>
    <row r="767" ht="15.75" customHeight="1">
      <c r="A767" s="85"/>
    </row>
    <row r="768" ht="15.75" customHeight="1">
      <c r="A768" s="85"/>
    </row>
    <row r="769" ht="15.75" customHeight="1">
      <c r="A769" s="85"/>
    </row>
    <row r="770" ht="15.75" customHeight="1">
      <c r="A770" s="85"/>
    </row>
    <row r="771" ht="15.75" customHeight="1">
      <c r="A771" s="85"/>
    </row>
    <row r="772" ht="15.75" customHeight="1">
      <c r="A772" s="85"/>
    </row>
    <row r="773" ht="15.75" customHeight="1">
      <c r="A773" s="85"/>
    </row>
    <row r="774" ht="15.75" customHeight="1">
      <c r="A774" s="85"/>
    </row>
    <row r="775" ht="15.75" customHeight="1">
      <c r="A775" s="85"/>
    </row>
    <row r="776" ht="15.75" customHeight="1">
      <c r="A776" s="85"/>
    </row>
    <row r="777" ht="15.75" customHeight="1">
      <c r="A777" s="85"/>
    </row>
    <row r="778" ht="15.75" customHeight="1">
      <c r="A778" s="85"/>
    </row>
    <row r="779" ht="15.75" customHeight="1">
      <c r="A779" s="85"/>
    </row>
    <row r="780" ht="15.75" customHeight="1">
      <c r="A780" s="85"/>
    </row>
    <row r="781" ht="15.75" customHeight="1">
      <c r="A781" s="85"/>
    </row>
    <row r="782" ht="15.75" customHeight="1">
      <c r="A782" s="85"/>
    </row>
    <row r="783" ht="15.75" customHeight="1">
      <c r="A783" s="85"/>
    </row>
    <row r="784" ht="15.75" customHeight="1">
      <c r="A784" s="85"/>
    </row>
    <row r="785" ht="15.75" customHeight="1">
      <c r="A785" s="85"/>
    </row>
    <row r="786" ht="15.75" customHeight="1">
      <c r="A786" s="85"/>
    </row>
    <row r="787" ht="15.75" customHeight="1">
      <c r="A787" s="85"/>
    </row>
    <row r="788" ht="15.75" customHeight="1">
      <c r="A788" s="85"/>
    </row>
    <row r="789" ht="15.75" customHeight="1">
      <c r="A789" s="85"/>
    </row>
    <row r="790" ht="15.75" customHeight="1">
      <c r="A790" s="85"/>
    </row>
    <row r="791" ht="15.75" customHeight="1">
      <c r="A791" s="85"/>
    </row>
    <row r="792" ht="15.75" customHeight="1">
      <c r="A792" s="85"/>
    </row>
    <row r="793" ht="15.75" customHeight="1">
      <c r="A793" s="85"/>
    </row>
    <row r="794" ht="15.75" customHeight="1">
      <c r="A794" s="85"/>
    </row>
    <row r="795" ht="15.75" customHeight="1">
      <c r="A795" s="85"/>
    </row>
    <row r="796" ht="15.75" customHeight="1">
      <c r="A796" s="85"/>
    </row>
    <row r="797" ht="15.75" customHeight="1">
      <c r="A797" s="85"/>
    </row>
    <row r="798" ht="15.75" customHeight="1">
      <c r="A798" s="85"/>
    </row>
    <row r="799" ht="15.75" customHeight="1">
      <c r="A799" s="85"/>
    </row>
    <row r="800" ht="15.75" customHeight="1">
      <c r="A800" s="85"/>
    </row>
    <row r="801" ht="15.75" customHeight="1">
      <c r="A801" s="85"/>
    </row>
    <row r="802" ht="15.75" customHeight="1">
      <c r="A802" s="85"/>
    </row>
    <row r="803" ht="15.75" customHeight="1">
      <c r="A803" s="85"/>
    </row>
    <row r="804" ht="15.75" customHeight="1">
      <c r="A804" s="85"/>
    </row>
    <row r="805" ht="15.75" customHeight="1">
      <c r="A805" s="85"/>
    </row>
    <row r="806" ht="15.75" customHeight="1">
      <c r="A806" s="85"/>
    </row>
    <row r="807" ht="15.75" customHeight="1">
      <c r="A807" s="85"/>
    </row>
    <row r="808" ht="15.75" customHeight="1">
      <c r="A808" s="85"/>
    </row>
    <row r="809" ht="15.75" customHeight="1">
      <c r="A809" s="85"/>
    </row>
    <row r="810" ht="15.75" customHeight="1">
      <c r="A810" s="85"/>
    </row>
    <row r="811" ht="15.75" customHeight="1">
      <c r="A811" s="85"/>
    </row>
    <row r="812" ht="15.75" customHeight="1">
      <c r="A812" s="85"/>
    </row>
    <row r="813" ht="15.75" customHeight="1">
      <c r="A813" s="85"/>
    </row>
    <row r="814" ht="15.75" customHeight="1">
      <c r="A814" s="85"/>
    </row>
    <row r="815" ht="15.75" customHeight="1">
      <c r="A815" s="85"/>
    </row>
    <row r="816" ht="15.75" customHeight="1">
      <c r="A816" s="85"/>
    </row>
    <row r="817" ht="15.75" customHeight="1">
      <c r="A817" s="85"/>
    </row>
    <row r="818" ht="15.75" customHeight="1">
      <c r="A818" s="85"/>
    </row>
    <row r="819" ht="15.75" customHeight="1">
      <c r="A819" s="85"/>
    </row>
    <row r="820" ht="15.75" customHeight="1">
      <c r="A820" s="85"/>
    </row>
    <row r="821" ht="15.75" customHeight="1">
      <c r="A821" s="85"/>
    </row>
    <row r="822" ht="15.75" customHeight="1">
      <c r="A822" s="85"/>
    </row>
    <row r="823" ht="15.75" customHeight="1">
      <c r="A823" s="85"/>
    </row>
    <row r="824" ht="15.75" customHeight="1">
      <c r="A824" s="85"/>
    </row>
    <row r="825" ht="15.75" customHeight="1">
      <c r="A825" s="85"/>
    </row>
    <row r="826" ht="15.75" customHeight="1">
      <c r="A826" s="85"/>
    </row>
    <row r="827" ht="15.75" customHeight="1">
      <c r="A827" s="85"/>
    </row>
    <row r="828" ht="15.75" customHeight="1">
      <c r="A828" s="85"/>
    </row>
    <row r="829" ht="15.75" customHeight="1">
      <c r="A829" s="85"/>
    </row>
    <row r="830" ht="15.75" customHeight="1">
      <c r="A830" s="85"/>
    </row>
    <row r="831" ht="15.75" customHeight="1">
      <c r="A831" s="85"/>
    </row>
    <row r="832" ht="15.75" customHeight="1">
      <c r="A832" s="85"/>
    </row>
    <row r="833" ht="15.75" customHeight="1">
      <c r="A833" s="85"/>
    </row>
    <row r="834" ht="15.75" customHeight="1">
      <c r="A834" s="85"/>
    </row>
    <row r="835" ht="15.75" customHeight="1">
      <c r="A835" s="85"/>
    </row>
    <row r="836" ht="15.75" customHeight="1">
      <c r="A836" s="85"/>
    </row>
    <row r="837" ht="15.75" customHeight="1">
      <c r="A837" s="85"/>
    </row>
    <row r="838" ht="15.75" customHeight="1">
      <c r="A838" s="85"/>
    </row>
    <row r="839" ht="15.75" customHeight="1">
      <c r="A839" s="85"/>
    </row>
    <row r="840" ht="15.75" customHeight="1">
      <c r="A840" s="85"/>
    </row>
    <row r="841" ht="15.75" customHeight="1">
      <c r="A841" s="85"/>
    </row>
    <row r="842" ht="15.75" customHeight="1">
      <c r="A842" s="85"/>
    </row>
    <row r="843" ht="15.75" customHeight="1">
      <c r="A843" s="85"/>
    </row>
    <row r="844" ht="15.75" customHeight="1">
      <c r="A844" s="85"/>
    </row>
    <row r="845" ht="15.75" customHeight="1">
      <c r="A845" s="85"/>
    </row>
    <row r="846" ht="15.75" customHeight="1">
      <c r="A846" s="85"/>
    </row>
    <row r="847" ht="15.75" customHeight="1">
      <c r="A847" s="85"/>
    </row>
    <row r="848" ht="15.75" customHeight="1">
      <c r="A848" s="85"/>
    </row>
    <row r="849" ht="15.75" customHeight="1">
      <c r="A849" s="85"/>
    </row>
    <row r="850" ht="15.75" customHeight="1">
      <c r="A850" s="85"/>
    </row>
    <row r="851" ht="15.75" customHeight="1">
      <c r="A851" s="85"/>
    </row>
    <row r="852" ht="15.75" customHeight="1">
      <c r="A852" s="85"/>
    </row>
    <row r="853" ht="15.75" customHeight="1">
      <c r="A853" s="85"/>
    </row>
    <row r="854" ht="15.75" customHeight="1">
      <c r="A854" s="85"/>
    </row>
    <row r="855" ht="15.75" customHeight="1">
      <c r="A855" s="85"/>
    </row>
    <row r="856" ht="15.75" customHeight="1">
      <c r="A856" s="85"/>
    </row>
    <row r="857" ht="15.75" customHeight="1">
      <c r="A857" s="85"/>
    </row>
    <row r="858" ht="15.75" customHeight="1">
      <c r="A858" s="85"/>
    </row>
    <row r="859" ht="15.75" customHeight="1">
      <c r="A859" s="85"/>
    </row>
    <row r="860" ht="15.75" customHeight="1">
      <c r="A860" s="85"/>
    </row>
    <row r="861" ht="15.75" customHeight="1">
      <c r="A861" s="85"/>
    </row>
    <row r="862" ht="15.75" customHeight="1">
      <c r="A862" s="85"/>
    </row>
    <row r="863" ht="15.75" customHeight="1">
      <c r="A863" s="85"/>
    </row>
    <row r="864" ht="15.75" customHeight="1">
      <c r="A864" s="85"/>
    </row>
    <row r="865" ht="15.75" customHeight="1">
      <c r="A865" s="85"/>
    </row>
    <row r="866" ht="15.75" customHeight="1">
      <c r="A866" s="85"/>
    </row>
    <row r="867" ht="15.75" customHeight="1">
      <c r="A867" s="85"/>
    </row>
    <row r="868" ht="15.75" customHeight="1">
      <c r="A868" s="85"/>
    </row>
    <row r="869" ht="15.75" customHeight="1">
      <c r="A869" s="85"/>
    </row>
    <row r="870" ht="15.75" customHeight="1">
      <c r="A870" s="85"/>
    </row>
    <row r="871" ht="15.75" customHeight="1">
      <c r="A871" s="85"/>
    </row>
    <row r="872" ht="15.75" customHeight="1">
      <c r="A872" s="85"/>
    </row>
    <row r="873" ht="15.75" customHeight="1">
      <c r="A873" s="85"/>
    </row>
    <row r="874" ht="15.75" customHeight="1">
      <c r="A874" s="85"/>
    </row>
    <row r="875" ht="15.75" customHeight="1">
      <c r="A875" s="85"/>
    </row>
    <row r="876" ht="15.75" customHeight="1">
      <c r="A876" s="85"/>
    </row>
    <row r="877" ht="15.75" customHeight="1">
      <c r="A877" s="85"/>
    </row>
    <row r="878" ht="15.75" customHeight="1">
      <c r="A878" s="85"/>
    </row>
    <row r="879" ht="15.75" customHeight="1">
      <c r="A879" s="85"/>
    </row>
    <row r="880" ht="15.75" customHeight="1">
      <c r="A880" s="85"/>
    </row>
    <row r="881" ht="15.75" customHeight="1">
      <c r="A881" s="85"/>
    </row>
    <row r="882" ht="15.75" customHeight="1">
      <c r="A882" s="85"/>
    </row>
    <row r="883" ht="15.75" customHeight="1">
      <c r="A883" s="85"/>
    </row>
    <row r="884" ht="15.75" customHeight="1">
      <c r="A884" s="85"/>
    </row>
    <row r="885" ht="15.75" customHeight="1">
      <c r="A885" s="85"/>
    </row>
    <row r="886" ht="15.75" customHeight="1">
      <c r="A886" s="85"/>
    </row>
    <row r="887" ht="15.75" customHeight="1">
      <c r="A887" s="85"/>
    </row>
    <row r="888" ht="15.75" customHeight="1">
      <c r="A888" s="85"/>
    </row>
    <row r="889" ht="15.75" customHeight="1">
      <c r="A889" s="85"/>
    </row>
    <row r="890" ht="15.75" customHeight="1">
      <c r="A890" s="85"/>
    </row>
    <row r="891" ht="15.75" customHeight="1">
      <c r="A891" s="85"/>
    </row>
    <row r="892" ht="15.75" customHeight="1">
      <c r="A892" s="85"/>
    </row>
    <row r="893" ht="15.75" customHeight="1">
      <c r="A893" s="85"/>
    </row>
    <row r="894" ht="15.75" customHeight="1">
      <c r="A894" s="85"/>
    </row>
    <row r="895" ht="15.75" customHeight="1">
      <c r="A895" s="85"/>
    </row>
    <row r="896" ht="15.75" customHeight="1">
      <c r="A896" s="85"/>
    </row>
    <row r="897" ht="15.75" customHeight="1">
      <c r="A897" s="85"/>
    </row>
    <row r="898" ht="15.75" customHeight="1">
      <c r="A898" s="85"/>
    </row>
    <row r="899" ht="15.75" customHeight="1">
      <c r="A899" s="85"/>
    </row>
    <row r="900" ht="15.75" customHeight="1">
      <c r="A900" s="85"/>
    </row>
    <row r="901" ht="15.75" customHeight="1">
      <c r="A901" s="85"/>
    </row>
    <row r="902" ht="15.75" customHeight="1">
      <c r="A902" s="85"/>
    </row>
    <row r="903" ht="15.75" customHeight="1">
      <c r="A903" s="85"/>
    </row>
    <row r="904" ht="15.75" customHeight="1">
      <c r="A904" s="85"/>
    </row>
    <row r="905" ht="15.75" customHeight="1">
      <c r="A905" s="85"/>
    </row>
    <row r="906" ht="15.75" customHeight="1">
      <c r="A906" s="85"/>
    </row>
    <row r="907" ht="15.75" customHeight="1">
      <c r="A907" s="85"/>
    </row>
    <row r="908" ht="15.75" customHeight="1">
      <c r="A908" s="85"/>
    </row>
    <row r="909" ht="15.75" customHeight="1">
      <c r="A909" s="85"/>
    </row>
    <row r="910" ht="15.75" customHeight="1">
      <c r="A910" s="85"/>
    </row>
    <row r="911" ht="15.75" customHeight="1">
      <c r="A911" s="85"/>
    </row>
    <row r="912" ht="15.75" customHeight="1">
      <c r="A912" s="85"/>
    </row>
    <row r="913" ht="15.75" customHeight="1">
      <c r="A913" s="85"/>
    </row>
    <row r="914" ht="15.75" customHeight="1">
      <c r="A914" s="85"/>
    </row>
    <row r="915" ht="15.75" customHeight="1">
      <c r="A915" s="85"/>
    </row>
    <row r="916" ht="15.75" customHeight="1">
      <c r="A916" s="85"/>
    </row>
    <row r="917" ht="15.75" customHeight="1">
      <c r="A917" s="85"/>
    </row>
    <row r="918" ht="15.75" customHeight="1">
      <c r="A918" s="85"/>
    </row>
    <row r="919" ht="15.75" customHeight="1">
      <c r="A919" s="85"/>
    </row>
    <row r="920" ht="15.75" customHeight="1">
      <c r="A920" s="85"/>
    </row>
    <row r="921" ht="15.75" customHeight="1">
      <c r="A921" s="85"/>
    </row>
    <row r="922" ht="15.75" customHeight="1">
      <c r="A922" s="85"/>
    </row>
    <row r="923" ht="15.75" customHeight="1">
      <c r="A923" s="85"/>
    </row>
    <row r="924" ht="15.75" customHeight="1">
      <c r="A924" s="85"/>
    </row>
    <row r="925" ht="15.75" customHeight="1">
      <c r="A925" s="85"/>
    </row>
    <row r="926" ht="15.75" customHeight="1">
      <c r="A926" s="85"/>
    </row>
    <row r="927" ht="15.75" customHeight="1">
      <c r="A927" s="85"/>
    </row>
    <row r="928" ht="15.75" customHeight="1">
      <c r="A928" s="85"/>
    </row>
    <row r="929" ht="15.75" customHeight="1">
      <c r="A929" s="85"/>
    </row>
    <row r="930" ht="15.75" customHeight="1">
      <c r="A930" s="85"/>
    </row>
    <row r="931" ht="15.75" customHeight="1">
      <c r="A931" s="85"/>
    </row>
    <row r="932" ht="15.75" customHeight="1">
      <c r="A932" s="85"/>
    </row>
    <row r="933" ht="15.75" customHeight="1">
      <c r="A933" s="85"/>
    </row>
    <row r="934" ht="15.75" customHeight="1">
      <c r="A934" s="85"/>
    </row>
    <row r="935" ht="15.75" customHeight="1">
      <c r="A935" s="85"/>
    </row>
    <row r="936" ht="15.75" customHeight="1">
      <c r="A936" s="85"/>
    </row>
    <row r="937" ht="15.75" customHeight="1">
      <c r="A937" s="85"/>
    </row>
    <row r="938" ht="15.75" customHeight="1">
      <c r="A938" s="85"/>
    </row>
    <row r="939" ht="15.75" customHeight="1">
      <c r="A939" s="85"/>
    </row>
    <row r="940" ht="15.75" customHeight="1">
      <c r="A940" s="85"/>
    </row>
    <row r="941" ht="15.75" customHeight="1">
      <c r="A941" s="85"/>
    </row>
    <row r="942" ht="15.75" customHeight="1">
      <c r="A942" s="85"/>
    </row>
    <row r="943" ht="15.75" customHeight="1">
      <c r="A943" s="85"/>
    </row>
    <row r="944" ht="15.75" customHeight="1">
      <c r="A944" s="85"/>
    </row>
    <row r="945" ht="15.75" customHeight="1">
      <c r="A945" s="85"/>
    </row>
    <row r="946" ht="15.75" customHeight="1">
      <c r="A946" s="85"/>
    </row>
    <row r="947" ht="15.75" customHeight="1">
      <c r="A947" s="85"/>
    </row>
    <row r="948" ht="15.75" customHeight="1">
      <c r="A948" s="85"/>
    </row>
    <row r="949" ht="15.75" customHeight="1">
      <c r="A949" s="85"/>
    </row>
    <row r="950" ht="15.75" customHeight="1">
      <c r="A950" s="85"/>
    </row>
    <row r="951" ht="15.75" customHeight="1">
      <c r="A951" s="85"/>
    </row>
    <row r="952" ht="15.75" customHeight="1">
      <c r="A952" s="85"/>
    </row>
    <row r="953" ht="15.75" customHeight="1">
      <c r="A953" s="85"/>
    </row>
    <row r="954" ht="15.75" customHeight="1">
      <c r="A954" s="85"/>
    </row>
    <row r="955" ht="15.75" customHeight="1">
      <c r="A955" s="85"/>
    </row>
    <row r="956" ht="15.75" customHeight="1">
      <c r="A956" s="85"/>
    </row>
    <row r="957" ht="15.75" customHeight="1">
      <c r="A957" s="85"/>
    </row>
    <row r="958" ht="15.75" customHeight="1">
      <c r="A958" s="85"/>
    </row>
    <row r="959" ht="15.75" customHeight="1">
      <c r="A959" s="85"/>
    </row>
    <row r="960" ht="15.75" customHeight="1">
      <c r="A960" s="85"/>
    </row>
    <row r="961" ht="15.75" customHeight="1">
      <c r="A961" s="85"/>
    </row>
    <row r="962" ht="15.75" customHeight="1">
      <c r="A962" s="85"/>
    </row>
    <row r="963" ht="15.75" customHeight="1">
      <c r="A963" s="85"/>
    </row>
    <row r="964" ht="15.75" customHeight="1">
      <c r="A964" s="85"/>
    </row>
    <row r="965" ht="15.75" customHeight="1">
      <c r="A965" s="85"/>
    </row>
    <row r="966" ht="15.75" customHeight="1">
      <c r="A966" s="85"/>
    </row>
    <row r="967" ht="15.75" customHeight="1">
      <c r="A967" s="85"/>
    </row>
    <row r="968" ht="15.75" customHeight="1">
      <c r="A968" s="85"/>
    </row>
    <row r="969" ht="15.75" customHeight="1">
      <c r="A969" s="85"/>
    </row>
    <row r="970" ht="15.75" customHeight="1">
      <c r="A970" s="85"/>
    </row>
    <row r="971" ht="15.75" customHeight="1">
      <c r="A971" s="85"/>
    </row>
    <row r="972" ht="15.75" customHeight="1">
      <c r="A972" s="85"/>
    </row>
    <row r="973" ht="15.75" customHeight="1">
      <c r="A973" s="85"/>
    </row>
    <row r="974" ht="15.75" customHeight="1">
      <c r="A974" s="85"/>
    </row>
    <row r="975" ht="15.75" customHeight="1">
      <c r="A975" s="85"/>
    </row>
    <row r="976" ht="15.75" customHeight="1">
      <c r="A976" s="85"/>
    </row>
    <row r="977" ht="15.75" customHeight="1">
      <c r="A977" s="85"/>
    </row>
    <row r="978" ht="15.75" customHeight="1">
      <c r="A978" s="85"/>
    </row>
    <row r="979" ht="15.75" customHeight="1">
      <c r="A979" s="85"/>
    </row>
    <row r="980" ht="15.75" customHeight="1">
      <c r="A980" s="85"/>
    </row>
    <row r="981" ht="15.75" customHeight="1">
      <c r="A981" s="85"/>
    </row>
    <row r="982" ht="15.75" customHeight="1">
      <c r="A982" s="85"/>
    </row>
    <row r="983" ht="15.75" customHeight="1">
      <c r="A983" s="85"/>
    </row>
    <row r="984" ht="15.75" customHeight="1">
      <c r="A984" s="85"/>
    </row>
    <row r="985" ht="15.75" customHeight="1">
      <c r="A985" s="85"/>
    </row>
    <row r="986" ht="15.75" customHeight="1">
      <c r="A986" s="85"/>
    </row>
    <row r="987" ht="15.75" customHeight="1">
      <c r="A987" s="85"/>
    </row>
    <row r="988" ht="15.75" customHeight="1">
      <c r="A988" s="85"/>
    </row>
    <row r="989" ht="15.75" customHeight="1">
      <c r="A989" s="85"/>
    </row>
    <row r="990" ht="15.75" customHeight="1">
      <c r="A990" s="85"/>
    </row>
    <row r="991" ht="15.75" customHeight="1">
      <c r="A991" s="85"/>
    </row>
    <row r="992" ht="15.75" customHeight="1">
      <c r="A992" s="85"/>
    </row>
    <row r="993" ht="15.75" customHeight="1">
      <c r="A993" s="85"/>
    </row>
    <row r="994" ht="15.75" customHeight="1">
      <c r="A994" s="85"/>
    </row>
    <row r="995" ht="15.75" customHeight="1">
      <c r="A995" s="85"/>
    </row>
    <row r="996" ht="15.75" customHeight="1">
      <c r="A996" s="85"/>
    </row>
    <row r="997" ht="15.75" customHeight="1">
      <c r="A997" s="85"/>
    </row>
    <row r="998" ht="15.75" customHeight="1">
      <c r="A998" s="85"/>
    </row>
    <row r="999" ht="15.75" customHeight="1">
      <c r="A999" s="85"/>
    </row>
    <row r="1000" ht="15.75" customHeight="1">
      <c r="A1000" s="85"/>
    </row>
    <row r="1001" ht="15.75" customHeight="1">
      <c r="A1001" s="85"/>
    </row>
    <row r="1002" ht="15.75" customHeight="1">
      <c r="A1002" s="85"/>
    </row>
    <row r="1003" ht="15.75" customHeight="1">
      <c r="A1003" s="85"/>
    </row>
    <row r="1004" ht="15.75" customHeight="1">
      <c r="A1004" s="85"/>
    </row>
    <row r="1005" ht="15.75" customHeight="1">
      <c r="A1005" s="85"/>
    </row>
    <row r="1006" ht="15.75" customHeight="1">
      <c r="A1006" s="85"/>
    </row>
    <row r="1007" ht="15.75" customHeight="1">
      <c r="A1007" s="85"/>
    </row>
    <row r="1008" ht="15.75" customHeight="1">
      <c r="A1008" s="85"/>
    </row>
    <row r="1009" ht="15.75" customHeight="1">
      <c r="A1009" s="85"/>
    </row>
    <row r="1010" ht="15.75" customHeight="1">
      <c r="A1010" s="85"/>
    </row>
    <row r="1011" ht="15.75" customHeight="1">
      <c r="A1011" s="85"/>
    </row>
    <row r="1012" ht="15.75" customHeight="1">
      <c r="A1012" s="85"/>
    </row>
    <row r="1013" ht="15.75" customHeight="1">
      <c r="A1013" s="85"/>
    </row>
    <row r="1014" ht="15.75" customHeight="1">
      <c r="A1014" s="85"/>
    </row>
    <row r="1015" ht="15.75" customHeight="1">
      <c r="A1015" s="85"/>
    </row>
    <row r="1016" ht="15.75" customHeight="1">
      <c r="A1016" s="85"/>
    </row>
    <row r="1017" ht="15.75" customHeight="1">
      <c r="A1017" s="85"/>
    </row>
    <row r="1018" ht="15.75" customHeight="1">
      <c r="A1018" s="85"/>
    </row>
    <row r="1019" ht="15.75" customHeight="1">
      <c r="A1019" s="85"/>
    </row>
    <row r="1020" ht="15.75" customHeight="1">
      <c r="A1020" s="85"/>
    </row>
    <row r="1021" ht="15.75" customHeight="1">
      <c r="A1021" s="85"/>
    </row>
    <row r="1022" ht="15.75" customHeight="1">
      <c r="A1022" s="85"/>
    </row>
    <row r="1023" ht="15.75" customHeight="1">
      <c r="A1023" s="85"/>
    </row>
    <row r="1024" ht="15.75" customHeight="1">
      <c r="A1024" s="85"/>
    </row>
    <row r="1025" ht="15.75" customHeight="1">
      <c r="A1025" s="85"/>
    </row>
    <row r="1026" ht="15.75" customHeight="1">
      <c r="A1026" s="85"/>
    </row>
    <row r="1027" ht="15.75" customHeight="1">
      <c r="A1027" s="85"/>
    </row>
    <row r="1028" ht="15.75" customHeight="1">
      <c r="A1028" s="85"/>
    </row>
    <row r="1029" ht="15.75" customHeight="1">
      <c r="A1029" s="85"/>
    </row>
    <row r="1030" ht="15.75" customHeight="1">
      <c r="A1030" s="85"/>
    </row>
    <row r="1031" ht="15.75" customHeight="1">
      <c r="A1031" s="85"/>
    </row>
    <row r="1032" ht="15.75" customHeight="1">
      <c r="A1032" s="85"/>
    </row>
    <row r="1033" ht="15.75" customHeight="1">
      <c r="A1033" s="85"/>
    </row>
    <row r="1034" ht="15.75" customHeight="1">
      <c r="A1034" s="85"/>
    </row>
    <row r="1035" ht="15.75" customHeight="1">
      <c r="A1035" s="85"/>
    </row>
    <row r="1036" ht="15.75" customHeight="1">
      <c r="A1036" s="85"/>
    </row>
    <row r="1037" ht="15.75" customHeight="1">
      <c r="A1037" s="85"/>
    </row>
    <row r="1038" ht="15.75" customHeight="1">
      <c r="A1038" s="85"/>
    </row>
    <row r="1039" ht="15.75" customHeight="1">
      <c r="A1039" s="85"/>
    </row>
    <row r="1040" ht="15.75" customHeight="1">
      <c r="A1040" s="85"/>
    </row>
    <row r="1041" ht="15.75" customHeight="1">
      <c r="A1041" s="85"/>
    </row>
    <row r="1042" ht="15.75" customHeight="1">
      <c r="A1042" s="85"/>
    </row>
    <row r="1043" ht="15.75" customHeight="1">
      <c r="A1043" s="85"/>
    </row>
    <row r="1044" ht="15.75" customHeight="1">
      <c r="A1044" s="85"/>
    </row>
    <row r="1045" ht="15.75" customHeight="1">
      <c r="A1045" s="85"/>
    </row>
    <row r="1046" ht="15.75" customHeight="1">
      <c r="A1046" s="85"/>
    </row>
    <row r="1047" ht="15.75" customHeight="1">
      <c r="A1047" s="85"/>
    </row>
    <row r="1048" ht="15.75" customHeight="1">
      <c r="A1048" s="85"/>
    </row>
    <row r="1049" ht="15.75" customHeight="1">
      <c r="A1049" s="85"/>
    </row>
    <row r="1050" ht="15.75" customHeight="1">
      <c r="A1050" s="85"/>
    </row>
    <row r="1051" ht="15.75" customHeight="1">
      <c r="A1051" s="85"/>
    </row>
    <row r="1052" ht="15.75" customHeight="1">
      <c r="A1052" s="85"/>
    </row>
    <row r="1053" ht="15.75" customHeight="1">
      <c r="A1053" s="85"/>
    </row>
    <row r="1054" ht="15.75" customHeight="1">
      <c r="A1054" s="85"/>
    </row>
    <row r="1055" ht="15.75" customHeight="1">
      <c r="A1055" s="85"/>
    </row>
    <row r="1056" ht="15.75" customHeight="1">
      <c r="A1056" s="85"/>
    </row>
    <row r="1057" ht="15.75" customHeight="1">
      <c r="A1057" s="85"/>
    </row>
    <row r="1058" ht="15.75" customHeight="1">
      <c r="A1058" s="85"/>
    </row>
    <row r="1059" ht="15.75" customHeight="1">
      <c r="A1059" s="85"/>
    </row>
    <row r="1060" ht="15.75" customHeight="1">
      <c r="A1060" s="85"/>
    </row>
    <row r="1061" ht="15.75" customHeight="1">
      <c r="A1061" s="85"/>
    </row>
    <row r="1062" ht="15.75" customHeight="1">
      <c r="A1062" s="85"/>
    </row>
    <row r="1063" ht="15.75" customHeight="1">
      <c r="A1063" s="85"/>
    </row>
    <row r="1064" ht="15.75" customHeight="1">
      <c r="A1064" s="85"/>
    </row>
    <row r="1065" ht="15.75" customHeight="1">
      <c r="A1065" s="85"/>
    </row>
    <row r="1066" ht="15.75" customHeight="1">
      <c r="A1066" s="85"/>
    </row>
    <row r="1067" ht="15.75" customHeight="1">
      <c r="A1067" s="85"/>
    </row>
    <row r="1068" ht="15.75" customHeight="1">
      <c r="A1068" s="85"/>
    </row>
    <row r="1069" ht="15.75" customHeight="1">
      <c r="A1069" s="85"/>
    </row>
    <row r="1070" ht="15.75" customHeight="1">
      <c r="A1070" s="85"/>
    </row>
    <row r="1071" ht="15.75" customHeight="1">
      <c r="A1071" s="85"/>
    </row>
    <row r="1072" ht="15.75" customHeight="1">
      <c r="A1072" s="85"/>
    </row>
    <row r="1073" ht="15.75" customHeight="1">
      <c r="A1073" s="85"/>
    </row>
    <row r="1074" ht="15.75" customHeight="1">
      <c r="A1074" s="85"/>
    </row>
    <row r="1075" ht="15.75" customHeight="1">
      <c r="A1075" s="85"/>
    </row>
    <row r="1076" ht="15.75" customHeight="1">
      <c r="A1076" s="85"/>
    </row>
    <row r="1077" ht="15.75" customHeight="1">
      <c r="A1077" s="85"/>
    </row>
    <row r="1078" ht="15.75" customHeight="1">
      <c r="A1078" s="85"/>
    </row>
    <row r="1079" ht="15.75" customHeight="1">
      <c r="A1079" s="85"/>
    </row>
    <row r="1080" ht="15.75" customHeight="1">
      <c r="A1080" s="85"/>
    </row>
    <row r="1081" ht="15.75" customHeight="1">
      <c r="A1081" s="85"/>
    </row>
    <row r="1082" ht="15.75" customHeight="1">
      <c r="A1082" s="85"/>
    </row>
    <row r="1083" ht="15.75" customHeight="1">
      <c r="A1083" s="85"/>
    </row>
    <row r="1084" ht="15.75" customHeight="1">
      <c r="A1084" s="85"/>
    </row>
    <row r="1085" ht="15.75" customHeight="1">
      <c r="A1085" s="85"/>
    </row>
    <row r="1086" ht="15.75" customHeight="1">
      <c r="A1086" s="85"/>
    </row>
    <row r="1087" ht="15.75" customHeight="1">
      <c r="A1087" s="85"/>
    </row>
    <row r="1088" ht="15.75" customHeight="1">
      <c r="A1088" s="85"/>
    </row>
    <row r="1089" ht="15.75" customHeight="1">
      <c r="A1089" s="85"/>
    </row>
    <row r="1090" ht="15.75" customHeight="1">
      <c r="A1090" s="85"/>
    </row>
    <row r="1091" ht="15.75" customHeight="1">
      <c r="A1091" s="85"/>
    </row>
    <row r="1092" ht="15.75" customHeight="1">
      <c r="A1092" s="85"/>
    </row>
    <row r="1093" ht="15.75" customHeight="1">
      <c r="A1093" s="85"/>
    </row>
    <row r="1094" ht="15.75" customHeight="1">
      <c r="A1094" s="85"/>
    </row>
    <row r="1095" ht="15.75" customHeight="1">
      <c r="A1095" s="85"/>
    </row>
    <row r="1096" ht="15.75" customHeight="1">
      <c r="A1096" s="85"/>
    </row>
    <row r="1097" ht="15.75" customHeight="1">
      <c r="A1097" s="85"/>
    </row>
    <row r="1098" ht="15.75" customHeight="1">
      <c r="A1098" s="85"/>
    </row>
    <row r="1099" ht="15.75" customHeight="1">
      <c r="A1099" s="85"/>
    </row>
    <row r="1100" ht="15.75" customHeight="1">
      <c r="A1100" s="85"/>
    </row>
    <row r="1101" ht="15.75" customHeight="1">
      <c r="A1101" s="85"/>
    </row>
    <row r="1102" ht="15.75" customHeight="1">
      <c r="A1102" s="85"/>
    </row>
    <row r="1103" ht="15.75" customHeight="1">
      <c r="A1103" s="85"/>
    </row>
    <row r="1104" ht="15.75" customHeight="1">
      <c r="A1104" s="85"/>
    </row>
    <row r="1105" ht="15.75" customHeight="1">
      <c r="A1105" s="85"/>
    </row>
    <row r="1106" ht="15.75" customHeight="1">
      <c r="A1106" s="85"/>
    </row>
    <row r="1107" ht="15.75" customHeight="1">
      <c r="A1107" s="85"/>
    </row>
    <row r="1108" ht="15.75" customHeight="1">
      <c r="A1108" s="85"/>
    </row>
    <row r="1109" ht="15.75" customHeight="1">
      <c r="A1109" s="85"/>
    </row>
    <row r="1110" ht="15.75" customHeight="1">
      <c r="A1110" s="85"/>
    </row>
    <row r="1111" ht="15.75" customHeight="1">
      <c r="A1111" s="85"/>
    </row>
    <row r="1112" ht="15.75" customHeight="1">
      <c r="A1112" s="85"/>
    </row>
    <row r="1113" ht="15.75" customHeight="1">
      <c r="A1113" s="85"/>
    </row>
    <row r="1114" ht="15.75" customHeight="1">
      <c r="A1114" s="85"/>
    </row>
    <row r="1115" ht="15.75" customHeight="1">
      <c r="A1115" s="85"/>
    </row>
    <row r="1116" ht="15.75" customHeight="1">
      <c r="A1116" s="85"/>
    </row>
    <row r="1117" ht="15.75" customHeight="1">
      <c r="A1117" s="85"/>
    </row>
    <row r="1118" ht="15.75" customHeight="1">
      <c r="A1118" s="85"/>
    </row>
    <row r="1119" ht="15.75" customHeight="1">
      <c r="A1119" s="85"/>
    </row>
    <row r="1120" ht="15.75" customHeight="1">
      <c r="A1120" s="85"/>
    </row>
    <row r="1121" ht="15.75" customHeight="1">
      <c r="A1121" s="85"/>
    </row>
    <row r="1122" ht="15.75" customHeight="1">
      <c r="A1122" s="85"/>
    </row>
    <row r="1123" ht="15.75" customHeight="1">
      <c r="A1123" s="85"/>
    </row>
    <row r="1124" ht="15.75" customHeight="1">
      <c r="A1124" s="85"/>
    </row>
    <row r="1125" ht="15.75" customHeight="1">
      <c r="A1125" s="85"/>
    </row>
    <row r="1126" ht="15.75" customHeight="1">
      <c r="A1126" s="85"/>
    </row>
    <row r="1127" ht="15.75" customHeight="1">
      <c r="A1127" s="85"/>
    </row>
    <row r="1128" ht="15.75" customHeight="1">
      <c r="A1128" s="85"/>
    </row>
    <row r="1129" ht="15.75" customHeight="1">
      <c r="A1129" s="85"/>
    </row>
    <row r="1130" ht="15.75" customHeight="1">
      <c r="A1130" s="85"/>
    </row>
    <row r="1131" ht="15.75" customHeight="1">
      <c r="A1131" s="85"/>
    </row>
    <row r="1132" ht="15.75" customHeight="1">
      <c r="A1132" s="85"/>
    </row>
    <row r="1133" ht="15.75" customHeight="1">
      <c r="A1133" s="85"/>
    </row>
    <row r="1134" ht="15.75" customHeight="1">
      <c r="A1134" s="85"/>
    </row>
    <row r="1135" ht="15.75" customHeight="1">
      <c r="A1135" s="85"/>
    </row>
    <row r="1136" ht="15.75" customHeight="1">
      <c r="A1136" s="85"/>
    </row>
    <row r="1137" ht="15.75" customHeight="1">
      <c r="A1137" s="85"/>
    </row>
    <row r="1138" ht="15.75" customHeight="1">
      <c r="A1138" s="85"/>
    </row>
    <row r="1139" ht="15.75" customHeight="1">
      <c r="A1139" s="85"/>
    </row>
    <row r="1140" ht="15.75" customHeight="1">
      <c r="A1140" s="85"/>
    </row>
    <row r="1141" ht="15.75" customHeight="1">
      <c r="A1141" s="85"/>
    </row>
    <row r="1142" ht="15.75" customHeight="1">
      <c r="A1142" s="85"/>
    </row>
    <row r="1143" ht="15.75" customHeight="1">
      <c r="A1143" s="85"/>
    </row>
    <row r="1144" ht="15.75" customHeight="1">
      <c r="A1144" s="85"/>
    </row>
    <row r="1145" ht="15.75" customHeight="1">
      <c r="A1145" s="85"/>
    </row>
    <row r="1146" ht="15.75" customHeight="1">
      <c r="A1146" s="85"/>
    </row>
    <row r="1147" ht="15.75" customHeight="1">
      <c r="A1147" s="85"/>
    </row>
    <row r="1148" ht="15.75" customHeight="1">
      <c r="A1148" s="85"/>
    </row>
    <row r="1149" ht="15.75" customHeight="1">
      <c r="A1149" s="85"/>
    </row>
    <row r="1150" ht="15.75" customHeight="1">
      <c r="A1150" s="85"/>
    </row>
    <row r="1151" ht="15.75" customHeight="1">
      <c r="A1151" s="85"/>
    </row>
    <row r="1152" ht="15.75" customHeight="1">
      <c r="A1152" s="85"/>
    </row>
    <row r="1153" ht="15.75" customHeight="1">
      <c r="A1153" s="85"/>
    </row>
    <row r="1154" ht="15.75" customHeight="1">
      <c r="A1154" s="85"/>
    </row>
    <row r="1155" ht="15.75" customHeight="1">
      <c r="A1155" s="85"/>
    </row>
    <row r="1156" ht="15.75" customHeight="1">
      <c r="A1156" s="85"/>
    </row>
    <row r="1157" ht="15.75" customHeight="1">
      <c r="A1157" s="85"/>
    </row>
    <row r="1158" ht="15.75" customHeight="1">
      <c r="A1158" s="85"/>
    </row>
    <row r="1159" ht="15.75" customHeight="1">
      <c r="A1159" s="85"/>
    </row>
    <row r="1160" ht="15.75" customHeight="1">
      <c r="A1160" s="85"/>
    </row>
    <row r="1161" ht="15.75" customHeight="1">
      <c r="A1161" s="85"/>
    </row>
    <row r="1162" ht="15.75" customHeight="1">
      <c r="A1162" s="85"/>
    </row>
    <row r="1163" ht="15.75" customHeight="1">
      <c r="A1163" s="85"/>
    </row>
    <row r="1164" ht="15.75" customHeight="1">
      <c r="A1164" s="85"/>
    </row>
    <row r="1165" ht="15.75" customHeight="1">
      <c r="A1165" s="85"/>
    </row>
    <row r="1166" ht="15.75" customHeight="1">
      <c r="A1166" s="85"/>
    </row>
    <row r="1167" ht="15.75" customHeight="1">
      <c r="A1167" s="85"/>
    </row>
    <row r="1168" ht="15.75" customHeight="1">
      <c r="A1168" s="85"/>
    </row>
    <row r="1169" ht="15.75" customHeight="1">
      <c r="A1169" s="85"/>
    </row>
    <row r="1170" ht="15.75" customHeight="1">
      <c r="A1170" s="85"/>
    </row>
    <row r="1171" ht="15.75" customHeight="1">
      <c r="A1171" s="85"/>
    </row>
    <row r="1172" ht="15.75" customHeight="1">
      <c r="A1172" s="85"/>
    </row>
    <row r="1173" ht="15.75" customHeight="1">
      <c r="A1173" s="85"/>
    </row>
    <row r="1174" ht="15.75" customHeight="1">
      <c r="A1174" s="85"/>
    </row>
    <row r="1175" ht="15.75" customHeight="1">
      <c r="A1175" s="85"/>
    </row>
    <row r="1176" ht="15.75" customHeight="1">
      <c r="A1176" s="85"/>
    </row>
    <row r="1177" ht="15.75" customHeight="1">
      <c r="A1177" s="85"/>
    </row>
    <row r="1178" ht="15.75" customHeight="1">
      <c r="A1178" s="85"/>
    </row>
    <row r="1179" ht="15.75" customHeight="1">
      <c r="A1179" s="85"/>
    </row>
    <row r="1180" ht="15.75" customHeight="1">
      <c r="A1180" s="85"/>
    </row>
    <row r="1181" ht="15.75" customHeight="1">
      <c r="A1181" s="85"/>
    </row>
    <row r="1182" ht="15.75" customHeight="1">
      <c r="A1182" s="85"/>
    </row>
    <row r="1183" ht="15.75" customHeight="1">
      <c r="A1183" s="85"/>
    </row>
    <row r="1184" ht="15.75" customHeight="1">
      <c r="A1184" s="85"/>
    </row>
    <row r="1185" ht="15.75" customHeight="1">
      <c r="A1185" s="85"/>
    </row>
    <row r="1186" ht="15.75" customHeight="1">
      <c r="A1186" s="85"/>
    </row>
    <row r="1187" ht="15.75" customHeight="1">
      <c r="A1187" s="85"/>
    </row>
    <row r="1188" ht="15.75" customHeight="1">
      <c r="A1188" s="85"/>
    </row>
    <row r="1189" ht="15.75" customHeight="1">
      <c r="A1189" s="85"/>
    </row>
    <row r="1190" ht="15.75" customHeight="1">
      <c r="A1190" s="85"/>
    </row>
    <row r="1191" ht="15.75" customHeight="1">
      <c r="A1191" s="85"/>
    </row>
    <row r="1192" ht="15.75" customHeight="1">
      <c r="A1192" s="85"/>
    </row>
    <row r="1193" ht="15.75" customHeight="1">
      <c r="A1193" s="85"/>
    </row>
    <row r="1194" ht="15.75" customHeight="1">
      <c r="A1194" s="85"/>
    </row>
    <row r="1195" ht="15.75" customHeight="1">
      <c r="A1195" s="85"/>
    </row>
    <row r="1196" ht="15.75" customHeight="1">
      <c r="A1196" s="85"/>
    </row>
    <row r="1197" ht="15.75" customHeight="1">
      <c r="A1197" s="85"/>
    </row>
    <row r="1198" ht="15.75" customHeight="1">
      <c r="A1198" s="85"/>
    </row>
    <row r="1199" ht="15.75" customHeight="1">
      <c r="A1199" s="85"/>
    </row>
    <row r="1200" ht="15.75" customHeight="1">
      <c r="A1200" s="85"/>
    </row>
    <row r="1201" ht="15.75" customHeight="1">
      <c r="A1201" s="85"/>
    </row>
    <row r="1202">
      <c r="A1202" s="85"/>
    </row>
  </sheetData>
  <mergeCells count="43">
    <mergeCell ref="L3:N3"/>
    <mergeCell ref="L10:O10"/>
    <mergeCell ref="A1:C4"/>
    <mergeCell ref="D1:D4"/>
    <mergeCell ref="E1:E4"/>
    <mergeCell ref="F1:F4"/>
    <mergeCell ref="L1:M1"/>
    <mergeCell ref="N4:P4"/>
    <mergeCell ref="B100:H100"/>
    <mergeCell ref="L113:O113"/>
    <mergeCell ref="L114:O114"/>
    <mergeCell ref="L106:O106"/>
    <mergeCell ref="L107:O107"/>
    <mergeCell ref="L108:O108"/>
    <mergeCell ref="L109:O109"/>
    <mergeCell ref="L110:O110"/>
    <mergeCell ref="L111:O111"/>
    <mergeCell ref="L112:O112"/>
    <mergeCell ref="L4:M4"/>
    <mergeCell ref="L5:N5"/>
    <mergeCell ref="L6:N6"/>
    <mergeCell ref="H7:I7"/>
    <mergeCell ref="Q7:R7"/>
    <mergeCell ref="B9:H9"/>
    <mergeCell ref="L11:O11"/>
    <mergeCell ref="L12:O12"/>
    <mergeCell ref="L13:O13"/>
    <mergeCell ref="L14:O14"/>
    <mergeCell ref="L15:O15"/>
    <mergeCell ref="L16:O16"/>
    <mergeCell ref="L17:O17"/>
    <mergeCell ref="L18:O18"/>
    <mergeCell ref="A10:A99"/>
    <mergeCell ref="A101:A196"/>
    <mergeCell ref="B197:H197"/>
    <mergeCell ref="A198:A367"/>
    <mergeCell ref="L19:O19"/>
    <mergeCell ref="L20:O20"/>
    <mergeCell ref="L101:O101"/>
    <mergeCell ref="L102:O102"/>
    <mergeCell ref="L103:O103"/>
    <mergeCell ref="L104:O104"/>
    <mergeCell ref="L105:O105"/>
  </mergeCells>
  <conditionalFormatting sqref="H198:H367">
    <cfRule type="expression" dxfId="10" priority="1">
      <formula>$A198="NESSUNA VENDITA"</formula>
    </cfRule>
  </conditionalFormatting>
  <conditionalFormatting sqref="H198:H367 C199">
    <cfRule type="expression" dxfId="8" priority="2">
      <formula>$A198="ATTESA DOCUMENTAZIONE"</formula>
    </cfRule>
  </conditionalFormatting>
  <conditionalFormatting sqref="H198:H367 C199">
    <cfRule type="expression" dxfId="9" priority="3">
      <formula>$A198="ATTESA OK ANESTESISTI"</formula>
    </cfRule>
  </conditionalFormatting>
  <conditionalFormatting sqref="H198:H367 C199">
    <cfRule type="expression" dxfId="11" priority="4">
      <formula>$A198="RICHIAMERA' / RICHIAMARE"</formula>
    </cfRule>
  </conditionalFormatting>
  <conditionalFormatting sqref="H198:H367 C199">
    <cfRule type="expression" dxfId="12" priority="5">
      <formula>$A198="INZIA IL TRATTAMENTO-VENDITA"</formula>
    </cfRule>
  </conditionalFormatting>
  <conditionalFormatting sqref="H198:H367 C199">
    <cfRule type="expression" dxfId="8" priority="6">
      <formula>$A198="APPUNTAMENTO PER INZIARE TRATTAMENTO=PAGAMENTO/DOCUMENTAZIONE"</formula>
    </cfRule>
  </conditionalFormatting>
  <conditionalFormatting sqref="H198:H367 C199">
    <cfRule type="expression" dxfId="13" priority="7">
      <formula>$A198="NESSUNA VENDITA"</formula>
    </cfRule>
  </conditionalFormatting>
  <conditionalFormatting sqref="H198:H367 C199">
    <cfRule type="expression" dxfId="14" priority="8">
      <formula>$A198="PAZIENTE SANO"</formula>
    </cfRule>
  </conditionalFormatting>
  <conditionalFormatting sqref="H198:H367 C199">
    <cfRule type="expression" dxfId="9" priority="9">
      <formula>$A198="IN ATTESA OK ANESTESISTI MALGRATE"</formula>
    </cfRule>
  </conditionalFormatting>
  <conditionalFormatting sqref="H198:H367 C199">
    <cfRule type="expression" dxfId="15" priority="10">
      <formula>$A198="NON SI PRESENTA ALL'APPUNTAMENTO"</formula>
    </cfRule>
  </conditionalFormatting>
  <conditionalFormatting sqref="H198:H367 C199">
    <cfRule type="expression" dxfId="16" priority="11">
      <formula>$A198="CONSULTO COMMERCIALE/CLINICO"</formula>
    </cfRule>
  </conditionalFormatting>
  <conditionalFormatting sqref="R6 C199">
    <cfRule type="notContainsBlanks" dxfId="17" priority="12">
      <formula>LEN(TRIM(R6))&gt;0</formula>
    </cfRule>
  </conditionalFormatting>
  <conditionalFormatting sqref="B9:T367">
    <cfRule type="expression" dxfId="18" priority="13">
      <formula>$B9="ESEGUITO"</formula>
    </cfRule>
  </conditionalFormatting>
  <conditionalFormatting sqref="B9:T367">
    <cfRule type="expression" dxfId="10" priority="14">
      <formula>$B9="NON ESEGUITO"</formula>
    </cfRule>
  </conditionalFormatting>
  <conditionalFormatting sqref="B9:T367">
    <cfRule type="expression" dxfId="19" priority="15">
      <formula>$B9="IN ATTESA"</formula>
    </cfRule>
  </conditionalFormatting>
  <dataValidations>
    <dataValidation type="list" allowBlank="1" showErrorMessage="1" sqref="F11:F99 F101:F196 F198:F367">
      <formula1>"AMPLIAMENTO,CONTROLLO,CONTROLLO POST IGIENE ,CURE,IGIENE ,RIVALUTAZIONE ,VISITA DI CONTROLLO ,RIV. BITE,VALUTAZIONE IMPLEMENTARE,VALUTAZIONE GENERALE,URGENZA"</formula1>
    </dataValidation>
    <dataValidation type="list" allowBlank="1" showErrorMessage="1" sqref="D10:D99 D101:D196 D198:D367">
      <formula1>'Elenco Dip Sedi'!$D$5:$D$32</formula1>
    </dataValidation>
    <dataValidation type="list" allowBlank="1" showErrorMessage="1" sqref="F10">
      <formula1>"IGIENE,CONTROLLO,RIVALUTAZIONE,POST-ORTOPANORAMICA,VALUTAZIONE,URGENZA"</formula1>
    </dataValidation>
    <dataValidation type="list" allowBlank="1" showErrorMessage="1" sqref="H10:I99 H101:I196 H198:I367">
      <formula1>'Elenco Dip Sedi'!$C$5:$C$32</formula1>
    </dataValidation>
    <dataValidation type="list" allowBlank="1" showErrorMessage="1" sqref="R10:R99 R101:R196 R198:R367">
      <formula1>'Elenco Dip Sedi'!$K$5:$K$32</formula1>
    </dataValidation>
    <dataValidation type="list" allowBlank="1" showErrorMessage="1" sqref="G10:G99">
      <formula1>"M,F"</formula1>
    </dataValidation>
    <dataValidation type="list" allowBlank="1" showErrorMessage="1" sqref="G198:G367">
      <formula1>"M,F"</formula1>
    </dataValidation>
    <dataValidation type="list" allowBlank="1" showErrorMessage="1" sqref="B10:B99 B101:B196 B198:B367">
      <formula1>"ESEGUITO,NON ESEGUITO,IN ATTESA"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26.7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57"/>
      <c r="D1" s="156" t="s">
        <v>66</v>
      </c>
      <c r="E1" s="157" t="s">
        <v>67</v>
      </c>
      <c r="F1" s="53"/>
      <c r="G1" s="158" t="s">
        <v>103</v>
      </c>
      <c r="H1" s="159"/>
      <c r="I1" s="55"/>
      <c r="J1" s="56"/>
      <c r="L1" s="56"/>
      <c r="M1" s="57"/>
      <c r="N1" s="58"/>
      <c r="O1" s="59"/>
      <c r="P1" s="60"/>
      <c r="Q1" s="61"/>
    </row>
    <row r="2" ht="20.25" customHeight="1">
      <c r="D2" s="160"/>
      <c r="E2" s="160"/>
      <c r="F2" s="53"/>
      <c r="G2" s="161"/>
      <c r="H2" s="162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63"/>
      <c r="E3" s="164"/>
      <c r="F3" s="53"/>
      <c r="G3" s="57"/>
      <c r="H3" s="57"/>
      <c r="I3" s="70"/>
      <c r="J3" s="165"/>
      <c r="K3" s="165"/>
      <c r="L3" s="165"/>
      <c r="M3" s="166"/>
      <c r="N3" s="167"/>
      <c r="O3" s="72"/>
      <c r="P3" s="69"/>
      <c r="Q3" s="61"/>
    </row>
    <row r="4" ht="21.0" customHeight="1">
      <c r="D4" s="168"/>
      <c r="E4" s="169"/>
      <c r="F4" s="84"/>
      <c r="G4" s="84"/>
      <c r="H4" s="84"/>
      <c r="I4" s="170"/>
      <c r="J4" s="171"/>
      <c r="K4" s="171"/>
      <c r="L4" s="171"/>
      <c r="M4" s="78"/>
      <c r="N4" s="89"/>
      <c r="O4" s="172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73"/>
      <c r="E5" s="174"/>
      <c r="F5" s="175"/>
      <c r="G5" s="176"/>
      <c r="H5" s="177"/>
      <c r="I5" s="178"/>
      <c r="J5" s="179" t="s">
        <v>104</v>
      </c>
      <c r="L5" s="180"/>
      <c r="M5" s="181"/>
      <c r="N5" s="182"/>
      <c r="O5" s="183"/>
      <c r="P5" s="184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185"/>
      <c r="D6" s="87"/>
      <c r="E6" s="77"/>
      <c r="F6" s="76"/>
      <c r="G6" s="77"/>
      <c r="H6" s="78"/>
      <c r="I6" s="80" t="s">
        <v>105</v>
      </c>
      <c r="L6" s="186">
        <f>SUMIF(A11:A140,"INZIA IL TRATTAMENTO-VENDITA", I11:I140)</f>
        <v>35594</v>
      </c>
      <c r="M6" s="187"/>
      <c r="O6" s="82"/>
      <c r="P6" s="18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E7" s="76"/>
      <c r="F7" s="88"/>
      <c r="G7" s="76"/>
      <c r="H7" s="78"/>
      <c r="I7" s="189" t="s">
        <v>106</v>
      </c>
      <c r="K7" s="78"/>
      <c r="L7" s="190">
        <f>L6+SUMIFS('OPPORTUNITA DI VENDITA'!J198:J513,'OPPORTUNITA DI VENDITA'!C198:C513, "&gt;=01/01/2026", 'OPPORTUNITA DI VENDITA'!C198:C513, "&lt;=31/01/2026",'OPPORTUNITA DI VENDITA'!B198:B513,"ESEGUITO")</f>
        <v>35594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105" t="s">
        <v>107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91"/>
      <c r="C10" s="191"/>
      <c r="D10" s="191"/>
      <c r="E10" s="191"/>
      <c r="F10" s="114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0.25" customHeight="1">
      <c r="A11" s="192" t="s">
        <v>108</v>
      </c>
      <c r="B11" s="118">
        <v>46029.0</v>
      </c>
      <c r="C11" s="119"/>
      <c r="D11" s="119" t="s">
        <v>109</v>
      </c>
      <c r="E11" s="119" t="s">
        <v>110</v>
      </c>
      <c r="F11" s="119" t="s">
        <v>90</v>
      </c>
      <c r="G11" s="119" t="s">
        <v>49</v>
      </c>
      <c r="H11" s="119"/>
      <c r="I11" s="117">
        <v>6718.0</v>
      </c>
      <c r="J11" s="118">
        <v>46029.0</v>
      </c>
      <c r="K11" s="46"/>
      <c r="L11" s="46"/>
      <c r="M11" s="46"/>
      <c r="N11" s="117"/>
      <c r="O11" s="119"/>
      <c r="P11" s="119"/>
      <c r="Q11" s="120"/>
      <c r="R11" s="193" t="s">
        <v>111</v>
      </c>
      <c r="S11" s="194"/>
      <c r="T11" s="195"/>
      <c r="U11" s="195"/>
      <c r="V11" s="195"/>
      <c r="W11" s="195"/>
      <c r="X11" s="195"/>
      <c r="Y11" s="195"/>
      <c r="Z11" s="195"/>
      <c r="AA11" s="195"/>
    </row>
    <row r="12" ht="20.25" customHeight="1">
      <c r="A12" s="192" t="s">
        <v>108</v>
      </c>
      <c r="B12" s="118">
        <v>46031.0</v>
      </c>
      <c r="C12" s="119"/>
      <c r="D12" s="119" t="s">
        <v>112</v>
      </c>
      <c r="E12" s="119" t="s">
        <v>113</v>
      </c>
      <c r="F12" s="119" t="s">
        <v>90</v>
      </c>
      <c r="G12" s="119" t="s">
        <v>50</v>
      </c>
      <c r="H12" s="119"/>
      <c r="I12" s="117">
        <v>4080.0</v>
      </c>
      <c r="J12" s="118">
        <v>46031.0</v>
      </c>
      <c r="K12" s="46"/>
      <c r="L12" s="46"/>
      <c r="M12" s="46"/>
      <c r="N12" s="117"/>
      <c r="O12" s="119"/>
      <c r="P12" s="119"/>
      <c r="Q12" s="120"/>
      <c r="R12" s="193" t="s">
        <v>114</v>
      </c>
      <c r="S12" s="194"/>
      <c r="T12" s="195"/>
      <c r="U12" s="195"/>
      <c r="V12" s="195"/>
      <c r="W12" s="195"/>
      <c r="X12" s="195"/>
      <c r="Y12" s="195"/>
      <c r="Z12" s="195"/>
      <c r="AA12" s="195"/>
    </row>
    <row r="13" ht="20.25" customHeight="1">
      <c r="A13" s="192" t="s">
        <v>108</v>
      </c>
      <c r="B13" s="118">
        <v>46034.0</v>
      </c>
      <c r="C13" s="119"/>
      <c r="D13" s="119" t="s">
        <v>115</v>
      </c>
      <c r="E13" s="119" t="s">
        <v>110</v>
      </c>
      <c r="F13" s="119" t="s">
        <v>96</v>
      </c>
      <c r="G13" s="119" t="s">
        <v>49</v>
      </c>
      <c r="H13" s="119"/>
      <c r="I13" s="117">
        <v>14220.0</v>
      </c>
      <c r="J13" s="118">
        <v>46034.0</v>
      </c>
      <c r="K13" s="46"/>
      <c r="L13" s="46"/>
      <c r="M13" s="46"/>
      <c r="N13" s="117"/>
      <c r="O13" s="119"/>
      <c r="P13" s="119"/>
      <c r="Q13" s="120"/>
      <c r="R13" s="193" t="s">
        <v>116</v>
      </c>
      <c r="S13" s="194"/>
      <c r="T13" s="195"/>
      <c r="U13" s="195"/>
      <c r="V13" s="195"/>
      <c r="W13" s="195"/>
      <c r="X13" s="195"/>
      <c r="Y13" s="195"/>
      <c r="Z13" s="195"/>
      <c r="AA13" s="195"/>
    </row>
    <row r="14" ht="20.25" customHeight="1">
      <c r="A14" s="192" t="s">
        <v>108</v>
      </c>
      <c r="B14" s="118">
        <v>46034.0</v>
      </c>
      <c r="C14" s="119"/>
      <c r="D14" s="119" t="s">
        <v>117</v>
      </c>
      <c r="E14" s="119" t="s">
        <v>118</v>
      </c>
      <c r="F14" s="119" t="s">
        <v>96</v>
      </c>
      <c r="G14" s="119" t="s">
        <v>49</v>
      </c>
      <c r="H14" s="119"/>
      <c r="I14" s="117">
        <v>150.0</v>
      </c>
      <c r="J14" s="118">
        <v>46034.0</v>
      </c>
      <c r="K14" s="46"/>
      <c r="L14" s="46"/>
      <c r="M14" s="46"/>
      <c r="N14" s="117"/>
      <c r="O14" s="119"/>
      <c r="P14" s="196" t="s">
        <v>119</v>
      </c>
      <c r="Q14" s="197">
        <v>46048.0</v>
      </c>
      <c r="R14" s="193" t="s">
        <v>120</v>
      </c>
      <c r="S14" s="194"/>
      <c r="T14" s="195"/>
      <c r="U14" s="195"/>
      <c r="V14" s="195"/>
      <c r="W14" s="195"/>
      <c r="X14" s="195"/>
      <c r="Y14" s="195"/>
      <c r="Z14" s="195"/>
      <c r="AA14" s="195"/>
    </row>
    <row r="15" ht="20.25" customHeight="1">
      <c r="A15" s="192" t="s">
        <v>121</v>
      </c>
      <c r="B15" s="118">
        <v>46035.0</v>
      </c>
      <c r="C15" s="119"/>
      <c r="D15" s="119" t="s">
        <v>122</v>
      </c>
      <c r="E15" s="119" t="s">
        <v>123</v>
      </c>
      <c r="F15" s="119" t="s">
        <v>96</v>
      </c>
      <c r="G15" s="119" t="s">
        <v>50</v>
      </c>
      <c r="H15" s="119"/>
      <c r="I15" s="117">
        <v>130.0</v>
      </c>
      <c r="J15" s="118">
        <v>46035.0</v>
      </c>
      <c r="K15" s="46"/>
      <c r="L15" s="46"/>
      <c r="M15" s="46"/>
      <c r="N15" s="117"/>
      <c r="O15" s="119"/>
      <c r="P15" s="119" t="s">
        <v>119</v>
      </c>
      <c r="Q15" s="197">
        <v>46035.0</v>
      </c>
      <c r="R15" s="193"/>
      <c r="S15" s="194"/>
      <c r="T15" s="195"/>
      <c r="U15" s="195"/>
      <c r="V15" s="195"/>
      <c r="W15" s="195"/>
      <c r="X15" s="195"/>
      <c r="Y15" s="195"/>
      <c r="Z15" s="195"/>
      <c r="AA15" s="195"/>
    </row>
    <row r="16" ht="20.25" customHeight="1">
      <c r="A16" s="192" t="s">
        <v>124</v>
      </c>
      <c r="B16" s="118">
        <v>46035.0</v>
      </c>
      <c r="C16" s="119"/>
      <c r="D16" s="119" t="s">
        <v>125</v>
      </c>
      <c r="E16" s="119" t="s">
        <v>126</v>
      </c>
      <c r="F16" s="119" t="s">
        <v>96</v>
      </c>
      <c r="G16" s="119" t="s">
        <v>50</v>
      </c>
      <c r="H16" s="119"/>
      <c r="I16" s="117"/>
      <c r="J16" s="118">
        <v>46035.0</v>
      </c>
      <c r="K16" s="46"/>
      <c r="L16" s="46"/>
      <c r="M16" s="46"/>
      <c r="N16" s="117"/>
      <c r="O16" s="119"/>
      <c r="P16" s="119"/>
      <c r="Q16" s="120"/>
      <c r="R16" s="193"/>
      <c r="S16" s="194"/>
      <c r="T16" s="195"/>
      <c r="U16" s="195"/>
      <c r="V16" s="195"/>
      <c r="W16" s="195"/>
      <c r="X16" s="195"/>
      <c r="Y16" s="195"/>
      <c r="Z16" s="195"/>
      <c r="AA16" s="195"/>
    </row>
    <row r="17" ht="20.25" customHeight="1">
      <c r="A17" s="192" t="s">
        <v>108</v>
      </c>
      <c r="B17" s="118">
        <v>46036.0</v>
      </c>
      <c r="C17" s="119"/>
      <c r="D17" s="119" t="s">
        <v>127</v>
      </c>
      <c r="E17" s="119" t="s">
        <v>128</v>
      </c>
      <c r="F17" s="119" t="s">
        <v>90</v>
      </c>
      <c r="G17" s="119" t="s">
        <v>50</v>
      </c>
      <c r="H17" s="119"/>
      <c r="I17" s="117">
        <v>8910.0</v>
      </c>
      <c r="J17" s="118">
        <v>46036.0</v>
      </c>
      <c r="K17" s="46"/>
      <c r="L17" s="46"/>
      <c r="M17" s="46"/>
      <c r="N17" s="117"/>
      <c r="O17" s="119"/>
      <c r="P17" s="119"/>
      <c r="Q17" s="120"/>
      <c r="R17" s="193"/>
      <c r="S17" s="194"/>
      <c r="T17" s="195"/>
      <c r="U17" s="195"/>
      <c r="V17" s="195"/>
      <c r="W17" s="195"/>
      <c r="X17" s="195"/>
      <c r="Y17" s="195"/>
      <c r="Z17" s="195"/>
      <c r="AA17" s="195"/>
    </row>
    <row r="18" ht="20.25" customHeight="1">
      <c r="A18" s="192" t="s">
        <v>108</v>
      </c>
      <c r="B18" s="118">
        <v>46036.0</v>
      </c>
      <c r="C18" s="119"/>
      <c r="D18" s="119" t="s">
        <v>129</v>
      </c>
      <c r="E18" s="119" t="s">
        <v>128</v>
      </c>
      <c r="F18" s="119" t="s">
        <v>96</v>
      </c>
      <c r="G18" s="119" t="s">
        <v>50</v>
      </c>
      <c r="H18" s="119"/>
      <c r="I18" s="117">
        <v>3690.0</v>
      </c>
      <c r="J18" s="118">
        <v>46036.0</v>
      </c>
      <c r="K18" s="46"/>
      <c r="L18" s="46"/>
      <c r="M18" s="46"/>
      <c r="N18" s="117"/>
      <c r="O18" s="119"/>
      <c r="P18" s="119"/>
      <c r="Q18" s="120"/>
      <c r="R18" s="193"/>
      <c r="S18" s="194"/>
      <c r="T18" s="195"/>
      <c r="U18" s="195"/>
      <c r="V18" s="195"/>
      <c r="W18" s="195"/>
      <c r="X18" s="195"/>
      <c r="Y18" s="195"/>
      <c r="Z18" s="195"/>
      <c r="AA18" s="195"/>
    </row>
    <row r="19" ht="20.25" customHeight="1">
      <c r="A19" s="192" t="s">
        <v>108</v>
      </c>
      <c r="B19" s="118">
        <v>46036.0</v>
      </c>
      <c r="C19" s="119"/>
      <c r="D19" s="119" t="s">
        <v>130</v>
      </c>
      <c r="E19" s="119" t="s">
        <v>128</v>
      </c>
      <c r="F19" s="119" t="s">
        <v>96</v>
      </c>
      <c r="G19" s="119" t="s">
        <v>49</v>
      </c>
      <c r="H19" s="119"/>
      <c r="I19" s="117">
        <v>5000.0</v>
      </c>
      <c r="J19" s="118">
        <v>46036.0</v>
      </c>
      <c r="K19" s="46"/>
      <c r="L19" s="46"/>
      <c r="M19" s="46"/>
      <c r="N19" s="117"/>
      <c r="O19" s="119"/>
      <c r="P19" s="119"/>
      <c r="Q19" s="120"/>
      <c r="R19" s="193" t="s">
        <v>131</v>
      </c>
      <c r="S19" s="194"/>
      <c r="T19" s="195"/>
      <c r="U19" s="195"/>
      <c r="V19" s="195"/>
      <c r="W19" s="195"/>
      <c r="X19" s="195"/>
      <c r="Y19" s="195"/>
      <c r="Z19" s="195"/>
      <c r="AA19" s="195"/>
    </row>
    <row r="20" ht="20.25" customHeight="1">
      <c r="A20" s="192" t="s">
        <v>108</v>
      </c>
      <c r="B20" s="118">
        <v>46037.0</v>
      </c>
      <c r="C20" s="119"/>
      <c r="D20" s="119" t="s">
        <v>132</v>
      </c>
      <c r="E20" s="119" t="s">
        <v>128</v>
      </c>
      <c r="F20" s="119" t="s">
        <v>90</v>
      </c>
      <c r="G20" s="119" t="s">
        <v>55</v>
      </c>
      <c r="H20" s="119"/>
      <c r="I20" s="117">
        <v>5800.0</v>
      </c>
      <c r="J20" s="118">
        <v>46037.0</v>
      </c>
      <c r="K20" s="46"/>
      <c r="L20" s="46"/>
      <c r="M20" s="46"/>
      <c r="N20" s="117"/>
      <c r="O20" s="119"/>
      <c r="P20" s="119"/>
      <c r="Q20" s="120"/>
      <c r="R20" s="193" t="s">
        <v>133</v>
      </c>
      <c r="S20" s="194"/>
      <c r="T20" s="195"/>
      <c r="U20" s="195"/>
      <c r="V20" s="195"/>
      <c r="W20" s="195"/>
      <c r="X20" s="195"/>
      <c r="Y20" s="195"/>
      <c r="Z20" s="195"/>
      <c r="AA20" s="195"/>
    </row>
    <row r="21" ht="20.25" customHeight="1">
      <c r="A21" s="192" t="s">
        <v>121</v>
      </c>
      <c r="B21" s="118">
        <v>46037.0</v>
      </c>
      <c r="C21" s="119"/>
      <c r="D21" s="119" t="s">
        <v>134</v>
      </c>
      <c r="E21" s="119" t="s">
        <v>135</v>
      </c>
      <c r="F21" s="119" t="s">
        <v>90</v>
      </c>
      <c r="G21" s="119" t="s">
        <v>56</v>
      </c>
      <c r="H21" s="119"/>
      <c r="I21" s="117">
        <v>304.0</v>
      </c>
      <c r="J21" s="118">
        <v>46037.0</v>
      </c>
      <c r="K21" s="46"/>
      <c r="L21" s="46"/>
      <c r="M21" s="46"/>
      <c r="N21" s="117"/>
      <c r="O21" s="119"/>
      <c r="P21" s="119" t="s">
        <v>119</v>
      </c>
      <c r="Q21" s="120"/>
      <c r="R21" s="193"/>
      <c r="S21" s="194"/>
      <c r="T21" s="195"/>
      <c r="U21" s="195"/>
      <c r="V21" s="195"/>
      <c r="W21" s="195"/>
      <c r="X21" s="195"/>
      <c r="Y21" s="195"/>
      <c r="Z21" s="195"/>
      <c r="AA21" s="195"/>
    </row>
    <row r="22" ht="20.25" customHeight="1">
      <c r="A22" s="192" t="s">
        <v>124</v>
      </c>
      <c r="B22" s="118">
        <v>46037.0</v>
      </c>
      <c r="C22" s="119"/>
      <c r="D22" s="119" t="s">
        <v>136</v>
      </c>
      <c r="E22" s="119" t="s">
        <v>128</v>
      </c>
      <c r="F22" s="119" t="s">
        <v>96</v>
      </c>
      <c r="G22" s="119" t="s">
        <v>56</v>
      </c>
      <c r="H22" s="119"/>
      <c r="I22" s="117"/>
      <c r="J22" s="118">
        <v>46037.0</v>
      </c>
      <c r="K22" s="46"/>
      <c r="L22" s="46"/>
      <c r="M22" s="46"/>
      <c r="N22" s="117"/>
      <c r="O22" s="119"/>
      <c r="P22" s="119"/>
      <c r="Q22" s="120"/>
      <c r="R22" s="193"/>
      <c r="S22" s="194"/>
      <c r="T22" s="195"/>
      <c r="U22" s="195"/>
      <c r="V22" s="195"/>
      <c r="W22" s="195"/>
      <c r="X22" s="195"/>
      <c r="Y22" s="195"/>
      <c r="Z22" s="195"/>
      <c r="AA22" s="195"/>
    </row>
    <row r="23" ht="20.25" customHeight="1">
      <c r="A23" s="192" t="s">
        <v>121</v>
      </c>
      <c r="B23" s="118">
        <v>46038.0</v>
      </c>
      <c r="C23" s="119"/>
      <c r="D23" s="119" t="s">
        <v>137</v>
      </c>
      <c r="E23" s="119" t="s">
        <v>123</v>
      </c>
      <c r="F23" s="119" t="s">
        <v>90</v>
      </c>
      <c r="G23" s="119" t="s">
        <v>50</v>
      </c>
      <c r="H23" s="119"/>
      <c r="I23" s="117">
        <v>530.0</v>
      </c>
      <c r="J23" s="118">
        <v>46038.0</v>
      </c>
      <c r="K23" s="46"/>
      <c r="L23" s="46"/>
      <c r="M23" s="46"/>
      <c r="N23" s="117"/>
      <c r="O23" s="119"/>
      <c r="P23" s="119" t="s">
        <v>119</v>
      </c>
      <c r="Q23" s="120"/>
      <c r="R23" s="193"/>
      <c r="S23" s="194"/>
      <c r="T23" s="195"/>
      <c r="U23" s="195"/>
      <c r="V23" s="195"/>
      <c r="W23" s="195"/>
      <c r="X23" s="195"/>
      <c r="Y23" s="195"/>
      <c r="Z23" s="195"/>
      <c r="AA23" s="195"/>
    </row>
    <row r="24" ht="20.25" customHeight="1">
      <c r="A24" s="192" t="s">
        <v>121</v>
      </c>
      <c r="B24" s="118">
        <v>46042.0</v>
      </c>
      <c r="C24" s="119"/>
      <c r="D24" s="119" t="s">
        <v>138</v>
      </c>
      <c r="E24" s="119" t="s">
        <v>123</v>
      </c>
      <c r="F24" s="119" t="s">
        <v>90</v>
      </c>
      <c r="G24" s="119" t="s">
        <v>50</v>
      </c>
      <c r="H24" s="119"/>
      <c r="I24" s="117">
        <v>780.0</v>
      </c>
      <c r="J24" s="118">
        <v>46042.0</v>
      </c>
      <c r="K24" s="46"/>
      <c r="L24" s="46"/>
      <c r="M24" s="46"/>
      <c r="N24" s="117"/>
      <c r="O24" s="119"/>
      <c r="P24" s="119" t="s">
        <v>119</v>
      </c>
      <c r="Q24" s="120"/>
      <c r="R24" s="193"/>
      <c r="S24" s="194"/>
      <c r="T24" s="195"/>
      <c r="U24" s="195"/>
      <c r="V24" s="195"/>
      <c r="W24" s="195"/>
      <c r="X24" s="195"/>
      <c r="Y24" s="195"/>
      <c r="Z24" s="195"/>
      <c r="AA24" s="195"/>
    </row>
    <row r="25" ht="20.25" customHeight="1">
      <c r="A25" s="192" t="s">
        <v>108</v>
      </c>
      <c r="B25" s="118">
        <v>46042.0</v>
      </c>
      <c r="C25" s="119"/>
      <c r="D25" s="119" t="s">
        <v>139</v>
      </c>
      <c r="E25" s="119" t="s">
        <v>110</v>
      </c>
      <c r="F25" s="119" t="s">
        <v>90</v>
      </c>
      <c r="G25" s="119" t="s">
        <v>50</v>
      </c>
      <c r="H25" s="119"/>
      <c r="I25" s="117">
        <v>2200.0</v>
      </c>
      <c r="J25" s="118">
        <v>46042.0</v>
      </c>
      <c r="K25" s="46"/>
      <c r="L25" s="46"/>
      <c r="M25" s="46"/>
      <c r="N25" s="117"/>
      <c r="O25" s="119"/>
      <c r="P25" s="119"/>
      <c r="Q25" s="120"/>
      <c r="R25" s="193"/>
      <c r="S25" s="194"/>
      <c r="T25" s="195"/>
      <c r="U25" s="195"/>
      <c r="V25" s="195"/>
      <c r="W25" s="195"/>
      <c r="X25" s="195"/>
      <c r="Y25" s="195"/>
      <c r="Z25" s="195"/>
      <c r="AA25" s="195"/>
    </row>
    <row r="26" ht="20.25" customHeight="1">
      <c r="A26" s="192" t="s">
        <v>108</v>
      </c>
      <c r="B26" s="118">
        <v>46044.0</v>
      </c>
      <c r="C26" s="119"/>
      <c r="D26" s="119" t="s">
        <v>140</v>
      </c>
      <c r="E26" s="119" t="s">
        <v>110</v>
      </c>
      <c r="F26" s="119" t="s">
        <v>90</v>
      </c>
      <c r="G26" s="119" t="s">
        <v>58</v>
      </c>
      <c r="H26" s="119"/>
      <c r="I26" s="117">
        <v>240.0</v>
      </c>
      <c r="J26" s="118">
        <v>46044.0</v>
      </c>
      <c r="K26" s="46"/>
      <c r="L26" s="46"/>
      <c r="M26" s="46"/>
      <c r="N26" s="117"/>
      <c r="O26" s="119"/>
      <c r="P26" s="119"/>
      <c r="Q26" s="120"/>
      <c r="R26" s="193" t="s">
        <v>141</v>
      </c>
      <c r="S26" s="194"/>
      <c r="T26" s="195"/>
      <c r="U26" s="195"/>
      <c r="V26" s="195"/>
      <c r="W26" s="195"/>
      <c r="X26" s="195"/>
      <c r="Y26" s="195"/>
      <c r="Z26" s="195"/>
      <c r="AA26" s="195"/>
    </row>
    <row r="27" ht="20.25" customHeight="1">
      <c r="A27" s="192" t="s">
        <v>121</v>
      </c>
      <c r="B27" s="118">
        <v>46044.0</v>
      </c>
      <c r="C27" s="119"/>
      <c r="D27" s="119" t="s">
        <v>142</v>
      </c>
      <c r="E27" s="119" t="s">
        <v>135</v>
      </c>
      <c r="F27" s="119" t="s">
        <v>90</v>
      </c>
      <c r="G27" s="119" t="s">
        <v>58</v>
      </c>
      <c r="H27" s="119"/>
      <c r="I27" s="117">
        <v>3280.0</v>
      </c>
      <c r="J27" s="118">
        <v>46044.0</v>
      </c>
      <c r="K27" s="46"/>
      <c r="L27" s="46"/>
      <c r="M27" s="46"/>
      <c r="N27" s="117"/>
      <c r="O27" s="119"/>
      <c r="P27" s="119" t="s">
        <v>97</v>
      </c>
      <c r="Q27" s="120"/>
      <c r="R27" s="193"/>
      <c r="S27" s="194"/>
      <c r="T27" s="195"/>
      <c r="U27" s="195"/>
      <c r="V27" s="195"/>
      <c r="W27" s="195"/>
      <c r="X27" s="195"/>
      <c r="Y27" s="195"/>
      <c r="Z27" s="195"/>
      <c r="AA27" s="195"/>
    </row>
    <row r="28" ht="20.25" customHeight="1">
      <c r="A28" s="192" t="s">
        <v>121</v>
      </c>
      <c r="B28" s="118">
        <v>46044.0</v>
      </c>
      <c r="C28" s="119"/>
      <c r="D28" s="119" t="s">
        <v>143</v>
      </c>
      <c r="E28" s="119" t="s">
        <v>110</v>
      </c>
      <c r="F28" s="119" t="s">
        <v>90</v>
      </c>
      <c r="G28" s="119" t="s">
        <v>58</v>
      </c>
      <c r="H28" s="119"/>
      <c r="I28" s="117">
        <v>12900.0</v>
      </c>
      <c r="J28" s="118">
        <v>46044.0</v>
      </c>
      <c r="K28" s="46"/>
      <c r="L28" s="46"/>
      <c r="M28" s="46"/>
      <c r="N28" s="117"/>
      <c r="O28" s="119"/>
      <c r="P28" s="119" t="s">
        <v>144</v>
      </c>
      <c r="Q28" s="197">
        <v>46065.0</v>
      </c>
      <c r="R28" s="193"/>
      <c r="S28" s="194"/>
      <c r="T28" s="195"/>
      <c r="U28" s="195"/>
      <c r="V28" s="195"/>
      <c r="W28" s="195"/>
      <c r="X28" s="195"/>
      <c r="Y28" s="195"/>
      <c r="Z28" s="195"/>
      <c r="AA28" s="195"/>
    </row>
    <row r="29" ht="20.25" customHeight="1">
      <c r="A29" s="192" t="s">
        <v>108</v>
      </c>
      <c r="B29" s="118">
        <v>46044.0</v>
      </c>
      <c r="C29" s="119"/>
      <c r="D29" s="119" t="s">
        <v>145</v>
      </c>
      <c r="E29" s="119" t="s">
        <v>146</v>
      </c>
      <c r="F29" s="119" t="s">
        <v>90</v>
      </c>
      <c r="G29" s="119" t="s">
        <v>58</v>
      </c>
      <c r="H29" s="119"/>
      <c r="I29" s="117">
        <v>4820.0</v>
      </c>
      <c r="J29" s="118">
        <v>46044.0</v>
      </c>
      <c r="K29" s="46"/>
      <c r="L29" s="46"/>
      <c r="M29" s="46"/>
      <c r="N29" s="117"/>
      <c r="O29" s="119"/>
      <c r="P29" s="119"/>
      <c r="Q29" s="120"/>
      <c r="R29" s="193" t="s">
        <v>147</v>
      </c>
      <c r="S29" s="194"/>
      <c r="T29" s="195"/>
      <c r="U29" s="195"/>
      <c r="V29" s="195"/>
      <c r="W29" s="195"/>
      <c r="X29" s="195"/>
      <c r="Y29" s="195"/>
      <c r="Z29" s="195"/>
      <c r="AA29" s="195"/>
    </row>
    <row r="30" ht="20.25" customHeight="1">
      <c r="A30" s="192" t="s">
        <v>108</v>
      </c>
      <c r="B30" s="118">
        <v>46049.0</v>
      </c>
      <c r="C30" s="119"/>
      <c r="D30" s="119" t="s">
        <v>148</v>
      </c>
      <c r="E30" s="119" t="s">
        <v>146</v>
      </c>
      <c r="F30" s="119" t="s">
        <v>96</v>
      </c>
      <c r="G30" s="119" t="s">
        <v>50</v>
      </c>
      <c r="H30" s="119"/>
      <c r="I30" s="117"/>
      <c r="J30" s="118">
        <v>46049.0</v>
      </c>
      <c r="K30" s="46"/>
      <c r="L30" s="46"/>
      <c r="M30" s="46"/>
      <c r="N30" s="117"/>
      <c r="O30" s="119"/>
      <c r="P30" s="119"/>
      <c r="Q30" s="120"/>
      <c r="R30" s="193" t="s">
        <v>149</v>
      </c>
      <c r="S30" s="194"/>
      <c r="T30" s="195"/>
      <c r="U30" s="195"/>
      <c r="V30" s="195"/>
      <c r="W30" s="195"/>
      <c r="X30" s="195"/>
      <c r="Y30" s="195"/>
      <c r="Z30" s="195"/>
      <c r="AA30" s="195"/>
    </row>
    <row r="31" ht="20.25" customHeight="1">
      <c r="A31" s="192" t="s">
        <v>121</v>
      </c>
      <c r="B31" s="118">
        <v>46050.0</v>
      </c>
      <c r="C31" s="119"/>
      <c r="D31" s="119" t="s">
        <v>150</v>
      </c>
      <c r="E31" s="119" t="s">
        <v>123</v>
      </c>
      <c r="F31" s="119" t="s">
        <v>90</v>
      </c>
      <c r="G31" s="119" t="s">
        <v>50</v>
      </c>
      <c r="H31" s="119"/>
      <c r="I31" s="117">
        <v>280.0</v>
      </c>
      <c r="J31" s="118">
        <v>46050.0</v>
      </c>
      <c r="K31" s="46"/>
      <c r="L31" s="46"/>
      <c r="M31" s="46"/>
      <c r="N31" s="117"/>
      <c r="O31" s="119"/>
      <c r="P31" s="119" t="s">
        <v>119</v>
      </c>
      <c r="Q31" s="120"/>
      <c r="R31" s="193"/>
      <c r="S31" s="194"/>
      <c r="T31" s="195"/>
      <c r="U31" s="195"/>
      <c r="V31" s="195"/>
      <c r="W31" s="195"/>
      <c r="X31" s="195"/>
      <c r="Y31" s="195"/>
      <c r="Z31" s="195"/>
      <c r="AA31" s="195"/>
    </row>
    <row r="32" ht="20.25" customHeight="1">
      <c r="A32" s="192" t="s">
        <v>121</v>
      </c>
      <c r="B32" s="118">
        <v>46050.0</v>
      </c>
      <c r="C32" s="119"/>
      <c r="D32" s="119" t="s">
        <v>151</v>
      </c>
      <c r="E32" s="119" t="s">
        <v>123</v>
      </c>
      <c r="F32" s="119" t="s">
        <v>90</v>
      </c>
      <c r="G32" s="119" t="s">
        <v>50</v>
      </c>
      <c r="H32" s="119"/>
      <c r="I32" s="117">
        <v>280.0</v>
      </c>
      <c r="J32" s="118">
        <v>46050.0</v>
      </c>
      <c r="K32" s="46"/>
      <c r="L32" s="46"/>
      <c r="M32" s="46"/>
      <c r="N32" s="117"/>
      <c r="O32" s="119"/>
      <c r="P32" s="119" t="s">
        <v>119</v>
      </c>
      <c r="Q32" s="120"/>
      <c r="R32" s="193"/>
      <c r="S32" s="194"/>
      <c r="T32" s="195"/>
      <c r="U32" s="195"/>
      <c r="V32" s="195"/>
      <c r="W32" s="195"/>
      <c r="X32" s="195"/>
      <c r="Y32" s="195"/>
      <c r="Z32" s="195"/>
      <c r="AA32" s="195"/>
    </row>
    <row r="33" ht="20.25" customHeight="1">
      <c r="A33" s="192" t="s">
        <v>121</v>
      </c>
      <c r="B33" s="118">
        <v>46050.0</v>
      </c>
      <c r="C33" s="119"/>
      <c r="D33" s="119" t="s">
        <v>152</v>
      </c>
      <c r="E33" s="119" t="s">
        <v>123</v>
      </c>
      <c r="F33" s="119" t="s">
        <v>90</v>
      </c>
      <c r="G33" s="119" t="s">
        <v>50</v>
      </c>
      <c r="H33" s="119"/>
      <c r="I33" s="117">
        <v>280.0</v>
      </c>
      <c r="J33" s="118">
        <v>46050.0</v>
      </c>
      <c r="K33" s="46"/>
      <c r="L33" s="46"/>
      <c r="M33" s="46"/>
      <c r="N33" s="117"/>
      <c r="O33" s="119"/>
      <c r="P33" s="119" t="s">
        <v>119</v>
      </c>
      <c r="Q33" s="120"/>
      <c r="R33" s="193"/>
      <c r="S33" s="194"/>
      <c r="T33" s="195"/>
      <c r="U33" s="195"/>
      <c r="V33" s="195"/>
      <c r="W33" s="195"/>
      <c r="X33" s="195"/>
      <c r="Y33" s="195"/>
      <c r="Z33" s="195"/>
      <c r="AA33" s="195"/>
    </row>
    <row r="34" ht="20.25" customHeight="1">
      <c r="A34" s="192" t="s">
        <v>121</v>
      </c>
      <c r="B34" s="118">
        <v>46050.0</v>
      </c>
      <c r="C34" s="119"/>
      <c r="D34" s="119" t="s">
        <v>153</v>
      </c>
      <c r="E34" s="119" t="s">
        <v>154</v>
      </c>
      <c r="F34" s="119" t="s">
        <v>96</v>
      </c>
      <c r="G34" s="119" t="s">
        <v>155</v>
      </c>
      <c r="H34" s="119"/>
      <c r="I34" s="117">
        <v>110.0</v>
      </c>
      <c r="J34" s="118">
        <v>46050.0</v>
      </c>
      <c r="K34" s="46"/>
      <c r="L34" s="46"/>
      <c r="M34" s="46"/>
      <c r="N34" s="117"/>
      <c r="O34" s="119"/>
      <c r="P34" s="119" t="s">
        <v>119</v>
      </c>
      <c r="Q34" s="120"/>
      <c r="R34" s="193"/>
      <c r="S34" s="194"/>
      <c r="T34" s="195"/>
      <c r="U34" s="195"/>
      <c r="V34" s="195"/>
      <c r="W34" s="195"/>
      <c r="X34" s="195"/>
      <c r="Y34" s="195"/>
      <c r="Z34" s="195"/>
      <c r="AA34" s="195"/>
    </row>
    <row r="35" ht="20.25" customHeight="1">
      <c r="A35" s="192" t="s">
        <v>124</v>
      </c>
      <c r="B35" s="118">
        <v>46050.0</v>
      </c>
      <c r="C35" s="119"/>
      <c r="D35" s="119" t="s">
        <v>156</v>
      </c>
      <c r="E35" s="119" t="s">
        <v>128</v>
      </c>
      <c r="F35" s="119" t="s">
        <v>90</v>
      </c>
      <c r="G35" s="119" t="s">
        <v>50</v>
      </c>
      <c r="H35" s="119"/>
      <c r="I35" s="117"/>
      <c r="J35" s="118">
        <v>46050.0</v>
      </c>
      <c r="K35" s="46"/>
      <c r="L35" s="46"/>
      <c r="M35" s="46"/>
      <c r="N35" s="117"/>
      <c r="O35" s="119"/>
      <c r="P35" s="119"/>
      <c r="Q35" s="120"/>
      <c r="R35" s="193"/>
      <c r="S35" s="194"/>
      <c r="T35" s="195"/>
      <c r="U35" s="195"/>
      <c r="V35" s="195"/>
      <c r="W35" s="195"/>
      <c r="X35" s="195"/>
      <c r="Y35" s="195"/>
      <c r="Z35" s="195"/>
      <c r="AA35" s="195"/>
    </row>
    <row r="36" ht="20.25" customHeight="1">
      <c r="A36" s="192" t="s">
        <v>121</v>
      </c>
      <c r="B36" s="118">
        <v>46050.0</v>
      </c>
      <c r="C36" s="119"/>
      <c r="D36" s="119" t="s">
        <v>157</v>
      </c>
      <c r="E36" s="119" t="s">
        <v>110</v>
      </c>
      <c r="F36" s="119" t="s">
        <v>96</v>
      </c>
      <c r="G36" s="119" t="s">
        <v>49</v>
      </c>
      <c r="H36" s="119"/>
      <c r="I36" s="117">
        <v>3285.0</v>
      </c>
      <c r="J36" s="118">
        <v>46050.0</v>
      </c>
      <c r="K36" s="46"/>
      <c r="L36" s="46"/>
      <c r="M36" s="46"/>
      <c r="N36" s="117"/>
      <c r="O36" s="119"/>
      <c r="P36" s="119" t="s">
        <v>158</v>
      </c>
      <c r="Q36" s="197">
        <v>46057.0</v>
      </c>
      <c r="R36" s="193"/>
      <c r="S36" s="194"/>
      <c r="T36" s="195"/>
      <c r="U36" s="195"/>
      <c r="V36" s="195"/>
      <c r="W36" s="195"/>
      <c r="X36" s="195"/>
      <c r="Y36" s="195"/>
      <c r="Z36" s="195"/>
      <c r="AA36" s="195"/>
    </row>
    <row r="37" ht="20.25" customHeight="1">
      <c r="A37" s="192" t="s">
        <v>124</v>
      </c>
      <c r="B37" s="118">
        <v>46050.0</v>
      </c>
      <c r="C37" s="119"/>
      <c r="D37" s="119" t="s">
        <v>159</v>
      </c>
      <c r="E37" s="119" t="s">
        <v>128</v>
      </c>
      <c r="F37" s="119" t="s">
        <v>90</v>
      </c>
      <c r="G37" s="119" t="s">
        <v>155</v>
      </c>
      <c r="H37" s="119"/>
      <c r="I37" s="117"/>
      <c r="J37" s="118">
        <v>46050.0</v>
      </c>
      <c r="K37" s="46"/>
      <c r="L37" s="46"/>
      <c r="M37" s="46"/>
      <c r="N37" s="117"/>
      <c r="O37" s="119"/>
      <c r="P37" s="119"/>
      <c r="Q37" s="120"/>
      <c r="R37" s="193"/>
      <c r="S37" s="194"/>
      <c r="T37" s="195"/>
      <c r="U37" s="195"/>
      <c r="V37" s="195"/>
      <c r="W37" s="195"/>
      <c r="X37" s="195"/>
      <c r="Y37" s="195"/>
      <c r="Z37" s="195"/>
      <c r="AA37" s="195"/>
    </row>
    <row r="38" ht="20.25" customHeight="1">
      <c r="A38" s="192" t="s">
        <v>121</v>
      </c>
      <c r="B38" s="118">
        <v>46051.0</v>
      </c>
      <c r="C38" s="119"/>
      <c r="D38" s="119" t="s">
        <v>160</v>
      </c>
      <c r="E38" s="119" t="s">
        <v>128</v>
      </c>
      <c r="F38" s="119" t="s">
        <v>90</v>
      </c>
      <c r="G38" s="119" t="s">
        <v>58</v>
      </c>
      <c r="H38" s="119"/>
      <c r="I38" s="117">
        <v>4000.0</v>
      </c>
      <c r="J38" s="118">
        <v>46051.0</v>
      </c>
      <c r="K38" s="46"/>
      <c r="L38" s="46"/>
      <c r="M38" s="46"/>
      <c r="N38" s="117"/>
      <c r="O38" s="119"/>
      <c r="P38" s="119" t="s">
        <v>144</v>
      </c>
      <c r="Q38" s="120"/>
      <c r="R38" s="193"/>
      <c r="S38" s="194"/>
      <c r="T38" s="195"/>
      <c r="U38" s="195"/>
      <c r="V38" s="195"/>
      <c r="W38" s="195"/>
      <c r="X38" s="195"/>
      <c r="Y38" s="195"/>
      <c r="Z38" s="195"/>
      <c r="AA38" s="195"/>
    </row>
    <row r="39" ht="20.25" customHeight="1">
      <c r="A39" s="192" t="s">
        <v>121</v>
      </c>
      <c r="B39" s="118">
        <v>46051.0</v>
      </c>
      <c r="C39" s="119"/>
      <c r="D39" s="119" t="s">
        <v>161</v>
      </c>
      <c r="E39" s="119" t="s">
        <v>113</v>
      </c>
      <c r="F39" s="119" t="s">
        <v>96</v>
      </c>
      <c r="G39" s="119" t="s">
        <v>55</v>
      </c>
      <c r="H39" s="119"/>
      <c r="I39" s="117">
        <v>4585.0</v>
      </c>
      <c r="J39" s="118">
        <v>46051.0</v>
      </c>
      <c r="K39" s="46"/>
      <c r="L39" s="46"/>
      <c r="M39" s="46"/>
      <c r="N39" s="117"/>
      <c r="O39" s="119"/>
      <c r="P39" s="119" t="s">
        <v>144</v>
      </c>
      <c r="Q39" s="120"/>
      <c r="R39" s="193"/>
      <c r="S39" s="194"/>
      <c r="T39" s="195"/>
      <c r="U39" s="195"/>
      <c r="V39" s="195"/>
      <c r="W39" s="195"/>
      <c r="X39" s="195"/>
      <c r="Y39" s="195"/>
      <c r="Z39" s="195"/>
      <c r="AA39" s="195"/>
    </row>
    <row r="40" ht="20.25" customHeight="1">
      <c r="A40" s="192" t="s">
        <v>121</v>
      </c>
      <c r="B40" s="118">
        <v>46051.0</v>
      </c>
      <c r="C40" s="119"/>
      <c r="D40" s="119" t="s">
        <v>162</v>
      </c>
      <c r="E40" s="119" t="s">
        <v>113</v>
      </c>
      <c r="F40" s="119" t="s">
        <v>90</v>
      </c>
      <c r="G40" s="119" t="s">
        <v>55</v>
      </c>
      <c r="H40" s="119"/>
      <c r="I40" s="117">
        <v>3200.0</v>
      </c>
      <c r="J40" s="118">
        <v>46051.0</v>
      </c>
      <c r="K40" s="46"/>
      <c r="L40" s="46"/>
      <c r="M40" s="46"/>
      <c r="N40" s="117"/>
      <c r="O40" s="119"/>
      <c r="P40" s="119" t="s">
        <v>144</v>
      </c>
      <c r="Q40" s="120"/>
      <c r="R40" s="193"/>
      <c r="S40" s="194"/>
      <c r="T40" s="195"/>
      <c r="U40" s="195"/>
      <c r="V40" s="195"/>
      <c r="W40" s="195"/>
      <c r="X40" s="195"/>
      <c r="Y40" s="195"/>
      <c r="Z40" s="195"/>
      <c r="AA40" s="195"/>
    </row>
    <row r="41" ht="20.25" customHeight="1">
      <c r="A41" s="192" t="s">
        <v>121</v>
      </c>
      <c r="B41" s="118">
        <v>46051.0</v>
      </c>
      <c r="C41" s="119"/>
      <c r="D41" s="119" t="s">
        <v>163</v>
      </c>
      <c r="E41" s="119" t="s">
        <v>113</v>
      </c>
      <c r="F41" s="119" t="s">
        <v>96</v>
      </c>
      <c r="G41" s="119" t="s">
        <v>58</v>
      </c>
      <c r="H41" s="119"/>
      <c r="I41" s="117">
        <v>1650.0</v>
      </c>
      <c r="J41" s="118">
        <v>46051.0</v>
      </c>
      <c r="K41" s="46"/>
      <c r="L41" s="46"/>
      <c r="M41" s="46"/>
      <c r="N41" s="117"/>
      <c r="O41" s="119"/>
      <c r="P41" s="119" t="s">
        <v>158</v>
      </c>
      <c r="Q41" s="120"/>
      <c r="R41" s="193"/>
      <c r="S41" s="194"/>
      <c r="T41" s="195"/>
      <c r="U41" s="195"/>
      <c r="V41" s="195"/>
      <c r="W41" s="195"/>
      <c r="X41" s="195"/>
      <c r="Y41" s="195"/>
      <c r="Z41" s="195"/>
      <c r="AA41" s="195"/>
    </row>
    <row r="42" ht="20.25" customHeight="1">
      <c r="A42" s="192" t="s">
        <v>108</v>
      </c>
      <c r="B42" s="118">
        <v>46051.0</v>
      </c>
      <c r="C42" s="119"/>
      <c r="D42" s="119" t="s">
        <v>164</v>
      </c>
      <c r="E42" s="119" t="s">
        <v>128</v>
      </c>
      <c r="F42" s="119" t="s">
        <v>96</v>
      </c>
      <c r="G42" s="119" t="s">
        <v>57</v>
      </c>
      <c r="H42" s="119"/>
      <c r="I42" s="117">
        <v>5380.0</v>
      </c>
      <c r="J42" s="118">
        <v>46051.0</v>
      </c>
      <c r="K42" s="46"/>
      <c r="L42" s="46"/>
      <c r="M42" s="46"/>
      <c r="N42" s="117"/>
      <c r="O42" s="119"/>
      <c r="P42" s="119"/>
      <c r="Q42" s="120"/>
      <c r="R42" s="193" t="s">
        <v>165</v>
      </c>
      <c r="S42" s="194"/>
      <c r="T42" s="195"/>
      <c r="U42" s="195"/>
      <c r="V42" s="195"/>
      <c r="W42" s="195"/>
      <c r="X42" s="195"/>
      <c r="Y42" s="195"/>
      <c r="Z42" s="195"/>
      <c r="AA42" s="195"/>
    </row>
    <row r="43" ht="20.25" customHeight="1">
      <c r="A43" s="192" t="s">
        <v>108</v>
      </c>
      <c r="B43" s="118">
        <v>46051.0</v>
      </c>
      <c r="C43" s="119"/>
      <c r="D43" s="119" t="s">
        <v>166</v>
      </c>
      <c r="E43" s="119" t="s">
        <v>128</v>
      </c>
      <c r="F43" s="119" t="s">
        <v>96</v>
      </c>
      <c r="G43" s="119" t="s">
        <v>58</v>
      </c>
      <c r="H43" s="119"/>
      <c r="I43" s="117">
        <v>1660.0</v>
      </c>
      <c r="J43" s="118">
        <v>46051.0</v>
      </c>
      <c r="K43" s="46"/>
      <c r="L43" s="46"/>
      <c r="M43" s="46"/>
      <c r="N43" s="117"/>
      <c r="O43" s="119"/>
      <c r="P43" s="119"/>
      <c r="Q43" s="120"/>
      <c r="R43" s="198" t="s">
        <v>167</v>
      </c>
      <c r="S43" s="194"/>
      <c r="T43" s="195"/>
      <c r="U43" s="195"/>
      <c r="V43" s="195"/>
      <c r="W43" s="195"/>
      <c r="X43" s="195"/>
      <c r="Y43" s="195"/>
      <c r="Z43" s="195"/>
      <c r="AA43" s="195"/>
    </row>
    <row r="44" ht="20.25" customHeight="1">
      <c r="A44" s="192" t="s">
        <v>124</v>
      </c>
      <c r="B44" s="118">
        <v>46051.0</v>
      </c>
      <c r="C44" s="119"/>
      <c r="D44" s="119" t="s">
        <v>168</v>
      </c>
      <c r="E44" s="119" t="s">
        <v>146</v>
      </c>
      <c r="F44" s="119" t="s">
        <v>90</v>
      </c>
      <c r="G44" s="119" t="s">
        <v>57</v>
      </c>
      <c r="H44" s="119"/>
      <c r="I44" s="117"/>
      <c r="J44" s="118">
        <v>46051.0</v>
      </c>
      <c r="K44" s="46"/>
      <c r="L44" s="46"/>
      <c r="M44" s="46"/>
      <c r="N44" s="117"/>
      <c r="O44" s="119"/>
      <c r="P44" s="119"/>
      <c r="Q44" s="120"/>
      <c r="R44" s="193"/>
      <c r="S44" s="194"/>
      <c r="T44" s="195"/>
      <c r="U44" s="195"/>
      <c r="V44" s="195"/>
      <c r="W44" s="195"/>
      <c r="X44" s="195"/>
      <c r="Y44" s="195"/>
      <c r="Z44" s="195"/>
      <c r="AA44" s="195"/>
    </row>
    <row r="45" ht="20.25" customHeight="1">
      <c r="A45" s="192" t="s">
        <v>124</v>
      </c>
      <c r="B45" s="118">
        <v>46052.0</v>
      </c>
      <c r="C45" s="119"/>
      <c r="D45" s="119" t="s">
        <v>169</v>
      </c>
      <c r="E45" s="119" t="s">
        <v>128</v>
      </c>
      <c r="F45" s="119" t="s">
        <v>90</v>
      </c>
      <c r="G45" s="119" t="s">
        <v>59</v>
      </c>
      <c r="H45" s="119"/>
      <c r="I45" s="117"/>
      <c r="J45" s="118">
        <v>46052.0</v>
      </c>
      <c r="K45" s="46"/>
      <c r="L45" s="46"/>
      <c r="M45" s="46"/>
      <c r="N45" s="117"/>
      <c r="O45" s="119"/>
      <c r="P45" s="119"/>
      <c r="Q45" s="120"/>
      <c r="R45" s="193"/>
      <c r="S45" s="194"/>
      <c r="T45" s="195"/>
      <c r="U45" s="195"/>
      <c r="V45" s="195"/>
      <c r="W45" s="195"/>
      <c r="X45" s="195"/>
      <c r="Y45" s="195"/>
      <c r="Z45" s="195"/>
      <c r="AA45" s="195"/>
    </row>
    <row r="46" ht="20.25" customHeight="1">
      <c r="A46" s="192" t="s">
        <v>124</v>
      </c>
      <c r="B46" s="118">
        <v>46052.0</v>
      </c>
      <c r="C46" s="119"/>
      <c r="D46" s="119" t="s">
        <v>170</v>
      </c>
      <c r="E46" s="119" t="s">
        <v>128</v>
      </c>
      <c r="F46" s="119" t="s">
        <v>90</v>
      </c>
      <c r="G46" s="119" t="s">
        <v>59</v>
      </c>
      <c r="H46" s="119"/>
      <c r="I46" s="117"/>
      <c r="J46" s="118">
        <v>46052.0</v>
      </c>
      <c r="K46" s="46"/>
      <c r="L46" s="46"/>
      <c r="M46" s="46"/>
      <c r="N46" s="117"/>
      <c r="O46" s="119"/>
      <c r="P46" s="119"/>
      <c r="Q46" s="120"/>
      <c r="R46" s="193"/>
      <c r="S46" s="194"/>
      <c r="T46" s="195"/>
      <c r="U46" s="195"/>
      <c r="V46" s="195"/>
      <c r="W46" s="195"/>
      <c r="X46" s="195"/>
      <c r="Y46" s="195"/>
      <c r="Z46" s="195"/>
      <c r="AA46" s="195"/>
    </row>
    <row r="47" ht="20.25" customHeight="1">
      <c r="A47" s="192"/>
      <c r="B47" s="118"/>
      <c r="C47" s="119"/>
      <c r="D47" s="120"/>
      <c r="E47" s="119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93"/>
      <c r="S47" s="194"/>
      <c r="T47" s="195"/>
      <c r="U47" s="195"/>
      <c r="V47" s="195"/>
      <c r="W47" s="195"/>
      <c r="X47" s="195"/>
      <c r="Y47" s="195"/>
      <c r="Z47" s="195"/>
      <c r="AA47" s="195"/>
    </row>
    <row r="48" ht="20.25" customHeight="1">
      <c r="A48" s="192"/>
      <c r="B48" s="118"/>
      <c r="C48" s="119"/>
      <c r="D48" s="120"/>
      <c r="E48" s="119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93"/>
      <c r="S48" s="194"/>
      <c r="T48" s="195"/>
      <c r="U48" s="195"/>
      <c r="V48" s="195"/>
      <c r="W48" s="195"/>
      <c r="X48" s="195"/>
      <c r="Y48" s="195"/>
      <c r="Z48" s="195"/>
      <c r="AA48" s="195"/>
    </row>
    <row r="49" ht="20.25" customHeight="1">
      <c r="A49" s="192"/>
      <c r="B49" s="118"/>
      <c r="C49" s="119"/>
      <c r="D49" s="120"/>
      <c r="E49" s="119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93"/>
      <c r="S49" s="194"/>
      <c r="T49" s="195"/>
      <c r="U49" s="195"/>
      <c r="V49" s="195"/>
      <c r="W49" s="195"/>
      <c r="X49" s="195"/>
      <c r="Y49" s="195"/>
      <c r="Z49" s="195"/>
      <c r="AA49" s="195"/>
    </row>
    <row r="50" ht="20.25" customHeight="1">
      <c r="A50" s="192"/>
      <c r="B50" s="118"/>
      <c r="C50" s="119"/>
      <c r="D50" s="120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93"/>
      <c r="S50" s="194"/>
      <c r="T50" s="195"/>
      <c r="U50" s="195"/>
      <c r="V50" s="195"/>
      <c r="W50" s="195"/>
      <c r="X50" s="195"/>
      <c r="Y50" s="195"/>
      <c r="Z50" s="195"/>
      <c r="AA50" s="195"/>
    </row>
    <row r="51" ht="20.25" customHeight="1">
      <c r="A51" s="192"/>
      <c r="B51" s="118"/>
      <c r="C51" s="119"/>
      <c r="D51" s="120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93"/>
      <c r="S51" s="194"/>
      <c r="T51" s="195"/>
      <c r="U51" s="195"/>
      <c r="V51" s="195"/>
      <c r="W51" s="195"/>
      <c r="X51" s="195"/>
      <c r="Y51" s="195"/>
      <c r="Z51" s="195"/>
      <c r="AA51" s="195"/>
    </row>
    <row r="52" ht="20.25" customHeight="1">
      <c r="A52" s="192"/>
      <c r="B52" s="118"/>
      <c r="C52" s="119"/>
      <c r="D52" s="120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93"/>
      <c r="S52" s="194"/>
      <c r="T52" s="195"/>
      <c r="U52" s="195"/>
      <c r="V52" s="195"/>
      <c r="W52" s="195"/>
      <c r="X52" s="195"/>
      <c r="Y52" s="195"/>
      <c r="Z52" s="195"/>
      <c r="AA52" s="195"/>
    </row>
    <row r="53" ht="20.25" customHeight="1">
      <c r="A53" s="192"/>
      <c r="B53" s="118"/>
      <c r="C53" s="119"/>
      <c r="D53" s="120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93"/>
      <c r="S53" s="194"/>
      <c r="T53" s="195"/>
      <c r="U53" s="195"/>
      <c r="V53" s="195"/>
      <c r="W53" s="195"/>
      <c r="X53" s="195"/>
      <c r="Y53" s="195"/>
      <c r="Z53" s="195"/>
      <c r="AA53" s="195"/>
    </row>
    <row r="54" ht="20.25" customHeight="1">
      <c r="A54" s="19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93"/>
      <c r="S54" s="194"/>
      <c r="T54" s="195"/>
      <c r="U54" s="195"/>
      <c r="V54" s="195"/>
      <c r="W54" s="195"/>
      <c r="X54" s="195"/>
      <c r="Y54" s="195"/>
      <c r="Z54" s="195"/>
      <c r="AA54" s="195"/>
    </row>
    <row r="55" ht="20.25" customHeight="1">
      <c r="A55" s="19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93"/>
      <c r="S55" s="194"/>
      <c r="T55" s="195"/>
      <c r="U55" s="195"/>
      <c r="V55" s="195"/>
      <c r="W55" s="195"/>
      <c r="X55" s="195"/>
      <c r="Y55" s="195"/>
      <c r="Z55" s="195"/>
      <c r="AA55" s="195"/>
    </row>
    <row r="56" ht="20.25" customHeight="1">
      <c r="A56" s="19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93"/>
      <c r="S56" s="194"/>
      <c r="T56" s="195"/>
      <c r="U56" s="195"/>
      <c r="V56" s="195"/>
      <c r="W56" s="195"/>
      <c r="X56" s="195"/>
      <c r="Y56" s="195"/>
      <c r="Z56" s="195"/>
      <c r="AA56" s="195"/>
    </row>
    <row r="57" ht="20.25" customHeight="1">
      <c r="A57" s="19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93"/>
      <c r="S57" s="194"/>
      <c r="T57" s="195"/>
      <c r="U57" s="195"/>
      <c r="V57" s="195"/>
      <c r="W57" s="195"/>
      <c r="X57" s="195"/>
      <c r="Y57" s="195"/>
      <c r="Z57" s="195"/>
      <c r="AA57" s="195"/>
    </row>
    <row r="58" ht="20.25" customHeight="1">
      <c r="A58" s="19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93"/>
      <c r="S58" s="194"/>
      <c r="T58" s="195"/>
      <c r="U58" s="195"/>
      <c r="V58" s="195"/>
      <c r="W58" s="195"/>
      <c r="X58" s="195"/>
      <c r="Y58" s="195"/>
      <c r="Z58" s="195"/>
      <c r="AA58" s="195"/>
    </row>
    <row r="59" ht="20.25" customHeight="1">
      <c r="A59" s="19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93"/>
      <c r="S59" s="194"/>
      <c r="T59" s="195"/>
      <c r="U59" s="195"/>
      <c r="V59" s="195"/>
      <c r="W59" s="195"/>
      <c r="X59" s="195"/>
      <c r="Y59" s="195"/>
      <c r="Z59" s="195"/>
      <c r="AA59" s="195"/>
    </row>
    <row r="60" ht="20.25" customHeight="1">
      <c r="A60" s="19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93"/>
      <c r="S60" s="194"/>
      <c r="T60" s="195"/>
      <c r="U60" s="195"/>
      <c r="V60" s="195"/>
      <c r="W60" s="195"/>
      <c r="X60" s="195"/>
      <c r="Y60" s="195"/>
      <c r="Z60" s="195"/>
      <c r="AA60" s="195"/>
    </row>
    <row r="61" ht="20.25" customHeight="1">
      <c r="A61" s="19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93"/>
      <c r="S61" s="194"/>
      <c r="T61" s="195"/>
      <c r="U61" s="195"/>
      <c r="V61" s="195"/>
      <c r="W61" s="195"/>
      <c r="X61" s="195"/>
      <c r="Y61" s="195"/>
      <c r="Z61" s="195"/>
      <c r="AA61" s="195"/>
    </row>
    <row r="62" ht="20.25" customHeight="1">
      <c r="A62" s="19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93"/>
      <c r="S62" s="194"/>
      <c r="T62" s="195"/>
      <c r="U62" s="195"/>
      <c r="V62" s="195"/>
      <c r="W62" s="195"/>
      <c r="X62" s="195"/>
      <c r="Y62" s="195"/>
      <c r="Z62" s="195"/>
      <c r="AA62" s="195"/>
    </row>
    <row r="63" ht="20.25" customHeight="1">
      <c r="A63" s="19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93"/>
      <c r="S63" s="194"/>
      <c r="T63" s="195"/>
      <c r="U63" s="195"/>
      <c r="V63" s="195"/>
      <c r="W63" s="195"/>
      <c r="X63" s="195"/>
      <c r="Y63" s="195"/>
      <c r="Z63" s="195"/>
      <c r="AA63" s="195"/>
    </row>
    <row r="64" ht="20.25" customHeight="1">
      <c r="A64" s="19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93"/>
      <c r="S64" s="194"/>
      <c r="T64" s="195"/>
      <c r="U64" s="195"/>
      <c r="V64" s="195"/>
      <c r="W64" s="195"/>
      <c r="X64" s="195"/>
      <c r="Y64" s="195"/>
      <c r="Z64" s="195"/>
      <c r="AA64" s="195"/>
    </row>
    <row r="65" ht="20.25" customHeight="1">
      <c r="A65" s="19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93"/>
      <c r="S65" s="194"/>
      <c r="T65" s="195"/>
      <c r="U65" s="195"/>
      <c r="V65" s="195"/>
      <c r="W65" s="195"/>
      <c r="X65" s="195"/>
      <c r="Y65" s="195"/>
      <c r="Z65" s="195"/>
      <c r="AA65" s="195"/>
    </row>
    <row r="66" ht="20.25" customHeight="1">
      <c r="A66" s="19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93"/>
      <c r="S66" s="194"/>
      <c r="T66" s="195"/>
      <c r="U66" s="195"/>
      <c r="V66" s="195"/>
      <c r="W66" s="195"/>
      <c r="X66" s="195"/>
      <c r="Y66" s="195"/>
      <c r="Z66" s="195"/>
      <c r="AA66" s="195"/>
    </row>
    <row r="67" ht="20.25" customHeight="1">
      <c r="A67" s="19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93"/>
      <c r="S67" s="194"/>
      <c r="T67" s="195"/>
      <c r="U67" s="195"/>
      <c r="V67" s="195"/>
      <c r="W67" s="195"/>
      <c r="X67" s="195"/>
      <c r="Y67" s="195"/>
      <c r="Z67" s="195"/>
      <c r="AA67" s="195"/>
    </row>
    <row r="68" ht="20.25" customHeight="1">
      <c r="A68" s="19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93"/>
      <c r="S68" s="194"/>
      <c r="T68" s="195"/>
      <c r="U68" s="195"/>
      <c r="V68" s="195"/>
      <c r="W68" s="195"/>
      <c r="X68" s="195"/>
      <c r="Y68" s="195"/>
      <c r="Z68" s="195"/>
      <c r="AA68" s="195"/>
    </row>
    <row r="69" ht="20.25" customHeight="1">
      <c r="A69" s="19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93"/>
      <c r="S69" s="194"/>
      <c r="T69" s="195"/>
      <c r="U69" s="195"/>
      <c r="V69" s="195"/>
      <c r="W69" s="195"/>
      <c r="X69" s="195"/>
      <c r="Y69" s="195"/>
      <c r="Z69" s="195"/>
      <c r="AA69" s="195"/>
    </row>
    <row r="70" ht="20.25" customHeight="1">
      <c r="A70" s="19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93"/>
      <c r="S70" s="194"/>
      <c r="T70" s="195"/>
      <c r="U70" s="195"/>
      <c r="V70" s="195"/>
      <c r="W70" s="195"/>
      <c r="X70" s="195"/>
      <c r="Y70" s="195"/>
      <c r="Z70" s="195"/>
      <c r="AA70" s="195"/>
    </row>
    <row r="71" ht="20.25" customHeight="1">
      <c r="A71" s="19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93"/>
      <c r="S71" s="194"/>
      <c r="T71" s="195"/>
      <c r="U71" s="195"/>
      <c r="V71" s="195"/>
      <c r="W71" s="195"/>
      <c r="X71" s="195"/>
      <c r="Y71" s="195"/>
      <c r="Z71" s="195"/>
      <c r="AA71" s="195"/>
    </row>
    <row r="72" ht="20.25" customHeight="1">
      <c r="A72" s="19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93"/>
      <c r="S72" s="194"/>
      <c r="T72" s="195"/>
      <c r="U72" s="195"/>
      <c r="V72" s="195"/>
      <c r="W72" s="195"/>
      <c r="X72" s="195"/>
      <c r="Y72" s="195"/>
      <c r="Z72" s="195"/>
      <c r="AA72" s="195"/>
    </row>
    <row r="73" ht="20.25" customHeight="1">
      <c r="A73" s="19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93"/>
      <c r="S73" s="194"/>
      <c r="T73" s="195"/>
      <c r="U73" s="195"/>
      <c r="V73" s="195"/>
      <c r="W73" s="195"/>
      <c r="X73" s="195"/>
      <c r="Y73" s="195"/>
      <c r="Z73" s="195"/>
      <c r="AA73" s="195"/>
    </row>
    <row r="74" ht="20.25" customHeight="1">
      <c r="A74" s="19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93"/>
      <c r="S74" s="194"/>
      <c r="T74" s="195"/>
      <c r="U74" s="195"/>
      <c r="V74" s="195"/>
      <c r="W74" s="195"/>
      <c r="X74" s="195"/>
      <c r="Y74" s="195"/>
      <c r="Z74" s="195"/>
      <c r="AA74" s="195"/>
    </row>
    <row r="75" ht="20.25" customHeight="1">
      <c r="A75" s="19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93"/>
      <c r="S75" s="194"/>
      <c r="T75" s="195"/>
      <c r="U75" s="195"/>
      <c r="V75" s="195"/>
      <c r="W75" s="195"/>
      <c r="X75" s="195"/>
      <c r="Y75" s="195"/>
      <c r="Z75" s="195"/>
      <c r="AA75" s="195"/>
    </row>
    <row r="76" ht="20.25" customHeight="1">
      <c r="A76" s="19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93"/>
      <c r="S76" s="194"/>
      <c r="T76" s="195"/>
      <c r="U76" s="195"/>
      <c r="V76" s="195"/>
      <c r="W76" s="195"/>
      <c r="X76" s="195"/>
      <c r="Y76" s="195"/>
      <c r="Z76" s="195"/>
      <c r="AA76" s="195"/>
    </row>
    <row r="77" ht="20.25" customHeight="1">
      <c r="A77" s="19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93"/>
      <c r="S77" s="194"/>
      <c r="T77" s="195"/>
      <c r="U77" s="195"/>
      <c r="V77" s="195"/>
      <c r="W77" s="195"/>
      <c r="X77" s="195"/>
      <c r="Y77" s="195"/>
      <c r="Z77" s="195"/>
      <c r="AA77" s="195"/>
    </row>
    <row r="78" ht="20.25" customHeight="1">
      <c r="A78" s="19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93"/>
      <c r="S78" s="194"/>
      <c r="T78" s="195"/>
      <c r="U78" s="195"/>
      <c r="V78" s="195"/>
      <c r="W78" s="195"/>
      <c r="X78" s="195"/>
      <c r="Y78" s="195"/>
      <c r="Z78" s="195"/>
      <c r="AA78" s="195"/>
    </row>
    <row r="79" ht="20.25" customHeight="1">
      <c r="A79" s="19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93"/>
      <c r="S79" s="194"/>
      <c r="T79" s="195"/>
      <c r="U79" s="195"/>
      <c r="V79" s="195"/>
      <c r="W79" s="195"/>
      <c r="X79" s="195"/>
      <c r="Y79" s="195"/>
      <c r="Z79" s="195"/>
      <c r="AA79" s="195"/>
    </row>
    <row r="80" ht="20.25" customHeight="1">
      <c r="A80" s="19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93"/>
      <c r="S80" s="194"/>
      <c r="T80" s="195"/>
      <c r="U80" s="195"/>
      <c r="V80" s="195"/>
      <c r="W80" s="195"/>
      <c r="X80" s="195"/>
      <c r="Y80" s="195"/>
      <c r="Z80" s="195"/>
      <c r="AA80" s="19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P11:P80">
    <cfRule type="expression" dxfId="13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0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C11:C80">
      <formula1>'Elenco Dip Sedi'!$D$5:$D$32</formula1>
    </dataValidation>
    <dataValidation type="list" allowBlank="1" showErrorMessage="1" sqref="O12:O80">
      <formula1>"x PRESTAZIONE,ACC + DILAZIONE,DILAZIONATO, ELYGHT,UNICO,PAGODIL"</formula1>
    </dataValidation>
    <dataValidation type="list" allowBlank="1" showErrorMessage="1" sqref="G11:G80">
      <formula1>'Elenco Dip Sedi'!$C$5:$C$32</formula1>
    </dataValidation>
    <dataValidation type="list" allowBlank="1" showErrorMessage="1" sqref="H11:H80">
      <formula1>"ANNIBALDI,DEL PRETE,EMANUELE,FRACANZANI,FRASCA,MALTESE,PLINI,SALERNO,VENNETTELLI,VESPASIANO,D'ASCANIO,FELLI"</formula1>
    </dataValidation>
    <dataValidation type="list" allowBlank="1" showErrorMessage="1" sqref="P11:P80">
      <formula1>'Elenco Dip Sedi'!$K$5:$K$32</formula1>
    </dataValidation>
    <dataValidation type="list" allowBlank="1" showErrorMessage="1" sqref="E11:E80">
      <formula1>"CUP,CUP SOLIDALE,DI PASSAGGIO ,FAMIGLIA ,PASSAPAROLA,SOCIAL,INTERNET,GOOGLE,VICINATO,ICOT,TOTEM,HUB SPOKE,PVT DOMENICI,PVT AMOROSO,DIPENDENTE,INTERNATIONAL CARE"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F11:F80">
      <formula1>"M,F"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3.13"/>
    <col customWidth="1" hidden="1" min="8" max="8" width="18.38"/>
    <col customWidth="1" min="9" max="9" width="13.13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3.75"/>
    <col customWidth="1" min="18" max="18" width="54.88"/>
    <col customWidth="1" min="19" max="27" width="5.88"/>
  </cols>
  <sheetData>
    <row r="1" ht="23.25" customHeight="1">
      <c r="C1" s="57"/>
      <c r="D1" s="156" t="s">
        <v>66</v>
      </c>
      <c r="E1" s="157" t="s">
        <v>67</v>
      </c>
      <c r="F1" s="53"/>
      <c r="G1" s="158" t="s">
        <v>103</v>
      </c>
      <c r="H1" s="159"/>
      <c r="I1" s="55"/>
      <c r="J1" s="56"/>
      <c r="L1" s="56"/>
      <c r="M1" s="57"/>
      <c r="N1" s="58"/>
      <c r="O1" s="59"/>
      <c r="P1" s="60"/>
      <c r="Q1" s="61"/>
    </row>
    <row r="2" ht="20.25" customHeight="1">
      <c r="D2" s="160"/>
      <c r="E2" s="160"/>
      <c r="F2" s="53"/>
      <c r="G2" s="161"/>
      <c r="H2" s="162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63"/>
      <c r="E3" s="164"/>
      <c r="F3" s="53"/>
      <c r="G3" s="57"/>
      <c r="H3" s="57"/>
      <c r="I3" s="70"/>
      <c r="J3" s="165"/>
      <c r="K3" s="165"/>
      <c r="L3" s="165"/>
      <c r="M3" s="166"/>
      <c r="N3" s="167"/>
      <c r="O3" s="72"/>
      <c r="P3" s="69"/>
      <c r="Q3" s="61"/>
    </row>
    <row r="4" ht="21.0" customHeight="1">
      <c r="D4" s="168"/>
      <c r="E4" s="169"/>
      <c r="F4" s="84"/>
      <c r="G4" s="84"/>
      <c r="H4" s="84"/>
      <c r="I4" s="170"/>
      <c r="J4" s="171"/>
      <c r="K4" s="171"/>
      <c r="L4" s="171"/>
      <c r="M4" s="78"/>
      <c r="N4" s="89"/>
      <c r="O4" s="172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73"/>
      <c r="E5" s="174"/>
      <c r="F5" s="175"/>
      <c r="G5" s="176"/>
      <c r="H5" s="177"/>
      <c r="I5" s="178"/>
      <c r="J5" s="179" t="s">
        <v>104</v>
      </c>
      <c r="L5" s="180"/>
      <c r="M5" s="181"/>
      <c r="N5" s="182"/>
      <c r="O5" s="183"/>
      <c r="P5" s="184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99"/>
      <c r="E6" s="77"/>
      <c r="F6" s="76"/>
      <c r="G6" s="77"/>
      <c r="H6" s="78"/>
      <c r="I6" s="80" t="s">
        <v>105</v>
      </c>
      <c r="L6" s="186">
        <f>SUMIF(A11:A139,"INZIA IL TRATTAMENTO-VENDITA", I11:I139)</f>
        <v>104999</v>
      </c>
      <c r="M6" s="187"/>
      <c r="O6" s="82"/>
      <c r="P6" s="18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89" t="s">
        <v>106</v>
      </c>
      <c r="K7" s="78"/>
      <c r="L7" s="190">
        <f>L6+SUMIFS('OPPORTUNITA DI VENDITA'!J198:J513,'OPPORTUNITA DI VENDITA'!C198:C513, "&gt;=01/02/2026", 'OPPORTUNITA DI VENDITA'!C198:C513, "&lt;=28/02/2026",'OPPORTUNITA DI VENDITA'!B198:B513,"ESEGUITO")</f>
        <v>104999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105" t="s">
        <v>107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91"/>
      <c r="C10" s="191"/>
      <c r="D10" s="191"/>
      <c r="E10" s="191"/>
      <c r="F10" s="114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19.5" customHeight="1">
      <c r="A11" s="200" t="s">
        <v>108</v>
      </c>
      <c r="B11" s="201">
        <v>46055.0</v>
      </c>
      <c r="C11" s="202"/>
      <c r="D11" s="202" t="s">
        <v>171</v>
      </c>
      <c r="E11" s="202" t="s">
        <v>146</v>
      </c>
      <c r="F11" s="202" t="s">
        <v>96</v>
      </c>
      <c r="G11" s="202" t="s">
        <v>49</v>
      </c>
      <c r="H11" s="202"/>
      <c r="I11" s="203">
        <v>5850.0</v>
      </c>
      <c r="J11" s="201"/>
      <c r="K11" s="46"/>
      <c r="L11" s="46"/>
      <c r="M11" s="46"/>
      <c r="N11" s="203"/>
      <c r="O11" s="202"/>
      <c r="P11" s="202"/>
      <c r="Q11" s="204"/>
      <c r="R11" s="205" t="s">
        <v>172</v>
      </c>
      <c r="S11" s="206"/>
      <c r="T11" s="207"/>
      <c r="U11" s="207"/>
      <c r="V11" s="207"/>
      <c r="W11" s="207"/>
      <c r="X11" s="207"/>
      <c r="Y11" s="207"/>
      <c r="Z11" s="207"/>
      <c r="AA11" s="207"/>
    </row>
    <row r="12" ht="20.25" customHeight="1">
      <c r="A12" s="192" t="s">
        <v>121</v>
      </c>
      <c r="B12" s="118">
        <v>46055.0</v>
      </c>
      <c r="C12" s="119"/>
      <c r="D12" s="119" t="s">
        <v>173</v>
      </c>
      <c r="E12" s="119" t="s">
        <v>128</v>
      </c>
      <c r="F12" s="119" t="s">
        <v>90</v>
      </c>
      <c r="G12" s="119" t="s">
        <v>49</v>
      </c>
      <c r="H12" s="119"/>
      <c r="I12" s="117">
        <v>9504.0</v>
      </c>
      <c r="J12" s="118"/>
      <c r="K12" s="46"/>
      <c r="L12" s="46"/>
      <c r="M12" s="46"/>
      <c r="N12" s="117"/>
      <c r="O12" s="119"/>
      <c r="P12" s="119" t="s">
        <v>144</v>
      </c>
      <c r="Q12" s="197">
        <v>46062.0</v>
      </c>
      <c r="R12" s="193"/>
      <c r="S12" s="194"/>
      <c r="T12" s="195"/>
      <c r="U12" s="195"/>
      <c r="V12" s="195"/>
      <c r="W12" s="195"/>
      <c r="X12" s="195"/>
      <c r="Y12" s="195"/>
      <c r="Z12" s="195"/>
      <c r="AA12" s="195"/>
    </row>
    <row r="13" ht="20.25" customHeight="1">
      <c r="A13" s="192" t="s">
        <v>121</v>
      </c>
      <c r="B13" s="118">
        <v>46055.0</v>
      </c>
      <c r="C13" s="119"/>
      <c r="D13" s="119" t="s">
        <v>174</v>
      </c>
      <c r="E13" s="119" t="s">
        <v>113</v>
      </c>
      <c r="F13" s="119" t="s">
        <v>90</v>
      </c>
      <c r="G13" s="119" t="s">
        <v>49</v>
      </c>
      <c r="H13" s="119"/>
      <c r="I13" s="117">
        <v>325.0</v>
      </c>
      <c r="J13" s="118"/>
      <c r="K13" s="46"/>
      <c r="L13" s="46"/>
      <c r="M13" s="46"/>
      <c r="N13" s="117"/>
      <c r="O13" s="119"/>
      <c r="P13" s="119" t="s">
        <v>91</v>
      </c>
      <c r="Q13" s="197">
        <v>46063.0</v>
      </c>
      <c r="R13" s="193"/>
      <c r="S13" s="194"/>
      <c r="T13" s="195"/>
      <c r="U13" s="195"/>
      <c r="V13" s="195"/>
      <c r="W13" s="195"/>
      <c r="X13" s="195"/>
      <c r="Y13" s="195"/>
      <c r="Z13" s="195"/>
      <c r="AA13" s="195"/>
    </row>
    <row r="14" ht="20.25" customHeight="1">
      <c r="A14" s="192" t="s">
        <v>108</v>
      </c>
      <c r="B14" s="118">
        <v>46057.0</v>
      </c>
      <c r="C14" s="119"/>
      <c r="D14" s="119" t="s">
        <v>175</v>
      </c>
      <c r="E14" s="119" t="s">
        <v>135</v>
      </c>
      <c r="F14" s="119" t="s">
        <v>90</v>
      </c>
      <c r="G14" s="119" t="s">
        <v>49</v>
      </c>
      <c r="H14" s="119"/>
      <c r="I14" s="117">
        <v>240.0</v>
      </c>
      <c r="J14" s="118"/>
      <c r="K14" s="46"/>
      <c r="L14" s="46"/>
      <c r="M14" s="46"/>
      <c r="N14" s="117"/>
      <c r="O14" s="119"/>
      <c r="P14" s="119"/>
      <c r="Q14" s="120"/>
      <c r="R14" s="193" t="s">
        <v>176</v>
      </c>
      <c r="S14" s="194"/>
      <c r="T14" s="195"/>
      <c r="U14" s="195"/>
      <c r="V14" s="195"/>
      <c r="W14" s="195"/>
      <c r="X14" s="195"/>
      <c r="Y14" s="195"/>
      <c r="Z14" s="195"/>
      <c r="AA14" s="195"/>
    </row>
    <row r="15" ht="20.25" customHeight="1">
      <c r="A15" s="192" t="s">
        <v>124</v>
      </c>
      <c r="B15" s="118">
        <v>46057.0</v>
      </c>
      <c r="C15" s="119"/>
      <c r="D15" s="119" t="s">
        <v>177</v>
      </c>
      <c r="E15" s="119" t="s">
        <v>128</v>
      </c>
      <c r="F15" s="119" t="s">
        <v>96</v>
      </c>
      <c r="G15" s="119" t="s">
        <v>155</v>
      </c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93"/>
      <c r="S15" s="194"/>
      <c r="T15" s="195"/>
      <c r="U15" s="195"/>
      <c r="V15" s="195"/>
      <c r="W15" s="195"/>
      <c r="X15" s="195"/>
      <c r="Y15" s="195"/>
      <c r="Z15" s="195"/>
      <c r="AA15" s="195"/>
    </row>
    <row r="16" ht="20.25" customHeight="1">
      <c r="A16" s="192" t="s">
        <v>108</v>
      </c>
      <c r="B16" s="118">
        <v>46057.0</v>
      </c>
      <c r="C16" s="119"/>
      <c r="D16" s="119" t="s">
        <v>178</v>
      </c>
      <c r="E16" s="119" t="s">
        <v>128</v>
      </c>
      <c r="F16" s="119" t="s">
        <v>96</v>
      </c>
      <c r="G16" s="119" t="s">
        <v>49</v>
      </c>
      <c r="H16" s="119"/>
      <c r="I16" s="117">
        <v>18000.0</v>
      </c>
      <c r="J16" s="118"/>
      <c r="K16" s="46"/>
      <c r="L16" s="46"/>
      <c r="M16" s="46"/>
      <c r="N16" s="117"/>
      <c r="O16" s="119"/>
      <c r="P16" s="119"/>
      <c r="Q16" s="120"/>
      <c r="R16" s="198" t="s">
        <v>179</v>
      </c>
      <c r="S16" s="194"/>
      <c r="T16" s="195"/>
      <c r="U16" s="195"/>
      <c r="V16" s="195"/>
      <c r="W16" s="195"/>
      <c r="X16" s="195"/>
      <c r="Y16" s="195"/>
      <c r="Z16" s="195"/>
      <c r="AA16" s="195"/>
    </row>
    <row r="17" ht="20.25" customHeight="1">
      <c r="A17" s="192" t="s">
        <v>108</v>
      </c>
      <c r="B17" s="118">
        <v>46057.0</v>
      </c>
      <c r="C17" s="119"/>
      <c r="D17" s="208" t="s">
        <v>180</v>
      </c>
      <c r="E17" s="119" t="s">
        <v>128</v>
      </c>
      <c r="F17" s="119" t="s">
        <v>90</v>
      </c>
      <c r="G17" s="119" t="s">
        <v>49</v>
      </c>
      <c r="H17" s="119"/>
      <c r="I17" s="117">
        <v>13000.0</v>
      </c>
      <c r="J17" s="118"/>
      <c r="K17" s="46"/>
      <c r="L17" s="46"/>
      <c r="M17" s="46"/>
      <c r="N17" s="117"/>
      <c r="O17" s="119"/>
      <c r="P17" s="119"/>
      <c r="Q17" s="120"/>
      <c r="R17" s="209" t="s">
        <v>181</v>
      </c>
      <c r="S17" s="194"/>
      <c r="T17" s="195"/>
      <c r="U17" s="195"/>
      <c r="V17" s="195"/>
      <c r="W17" s="195"/>
      <c r="X17" s="195"/>
      <c r="Y17" s="195"/>
      <c r="Z17" s="195"/>
      <c r="AA17" s="195"/>
    </row>
    <row r="18" ht="20.25" customHeight="1">
      <c r="A18" s="192" t="s">
        <v>121</v>
      </c>
      <c r="B18" s="118">
        <v>46057.0</v>
      </c>
      <c r="C18" s="119"/>
      <c r="D18" s="119" t="s">
        <v>182</v>
      </c>
      <c r="E18" s="119" t="s">
        <v>110</v>
      </c>
      <c r="F18" s="119" t="s">
        <v>90</v>
      </c>
      <c r="G18" s="119" t="s">
        <v>49</v>
      </c>
      <c r="H18" s="119"/>
      <c r="I18" s="117">
        <v>12000.0</v>
      </c>
      <c r="J18" s="118"/>
      <c r="K18" s="46"/>
      <c r="L18" s="46"/>
      <c r="M18" s="46"/>
      <c r="N18" s="117"/>
      <c r="O18" s="119"/>
      <c r="P18" s="119" t="s">
        <v>183</v>
      </c>
      <c r="Q18" s="120"/>
      <c r="R18" s="193"/>
      <c r="S18" s="194"/>
      <c r="T18" s="195"/>
      <c r="U18" s="195"/>
      <c r="V18" s="195"/>
      <c r="W18" s="195"/>
      <c r="X18" s="195"/>
      <c r="Y18" s="195"/>
      <c r="Z18" s="195"/>
      <c r="AA18" s="195"/>
    </row>
    <row r="19" ht="20.25" customHeight="1">
      <c r="A19" s="192" t="s">
        <v>121</v>
      </c>
      <c r="B19" s="118">
        <v>46058.0</v>
      </c>
      <c r="C19" s="119"/>
      <c r="D19" s="119" t="s">
        <v>184</v>
      </c>
      <c r="E19" s="119" t="s">
        <v>113</v>
      </c>
      <c r="F19" s="119" t="s">
        <v>96</v>
      </c>
      <c r="G19" s="119" t="s">
        <v>58</v>
      </c>
      <c r="H19" s="119"/>
      <c r="I19" s="117">
        <v>6270.0</v>
      </c>
      <c r="J19" s="118"/>
      <c r="K19" s="46"/>
      <c r="L19" s="46"/>
      <c r="M19" s="46"/>
      <c r="N19" s="117"/>
      <c r="O19" s="119"/>
      <c r="P19" s="119" t="s">
        <v>158</v>
      </c>
      <c r="Q19" s="120"/>
      <c r="R19" s="193"/>
      <c r="S19" s="194"/>
      <c r="T19" s="195"/>
      <c r="U19" s="195"/>
      <c r="V19" s="195"/>
      <c r="W19" s="195"/>
      <c r="X19" s="195"/>
      <c r="Y19" s="195"/>
      <c r="Z19" s="195"/>
      <c r="AA19" s="195"/>
    </row>
    <row r="20" ht="20.25" customHeight="1">
      <c r="A20" s="192" t="s">
        <v>121</v>
      </c>
      <c r="B20" s="118">
        <v>46058.0</v>
      </c>
      <c r="C20" s="119"/>
      <c r="D20" s="119" t="s">
        <v>185</v>
      </c>
      <c r="E20" s="119" t="s">
        <v>128</v>
      </c>
      <c r="F20" s="119" t="s">
        <v>90</v>
      </c>
      <c r="G20" s="119" t="s">
        <v>58</v>
      </c>
      <c r="H20" s="119"/>
      <c r="I20" s="117">
        <v>648.0</v>
      </c>
      <c r="J20" s="118"/>
      <c r="K20" s="46"/>
      <c r="L20" s="46"/>
      <c r="M20" s="46"/>
      <c r="N20" s="117"/>
      <c r="O20" s="119"/>
      <c r="P20" s="119" t="s">
        <v>119</v>
      </c>
      <c r="Q20" s="120"/>
      <c r="R20" s="193"/>
      <c r="S20" s="194"/>
      <c r="T20" s="195"/>
      <c r="U20" s="195"/>
      <c r="V20" s="195"/>
      <c r="W20" s="195"/>
      <c r="X20" s="195"/>
      <c r="Y20" s="195"/>
      <c r="Z20" s="195"/>
      <c r="AA20" s="195"/>
    </row>
    <row r="21" ht="20.25" customHeight="1">
      <c r="A21" s="192" t="s">
        <v>124</v>
      </c>
      <c r="B21" s="118">
        <v>46058.0</v>
      </c>
      <c r="C21" s="119"/>
      <c r="D21" s="119" t="s">
        <v>186</v>
      </c>
      <c r="E21" s="119" t="s">
        <v>128</v>
      </c>
      <c r="F21" s="119" t="s">
        <v>96</v>
      </c>
      <c r="G21" s="119" t="s">
        <v>56</v>
      </c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210" t="s">
        <v>187</v>
      </c>
      <c r="S21" s="194"/>
      <c r="T21" s="195"/>
      <c r="U21" s="195"/>
      <c r="V21" s="195"/>
      <c r="W21" s="195"/>
      <c r="X21" s="195"/>
      <c r="Y21" s="195"/>
      <c r="Z21" s="195"/>
      <c r="AA21" s="195"/>
    </row>
    <row r="22" ht="20.25" customHeight="1">
      <c r="A22" s="192" t="s">
        <v>121</v>
      </c>
      <c r="B22" s="118">
        <v>46058.0</v>
      </c>
      <c r="C22" s="119"/>
      <c r="D22" s="119" t="s">
        <v>188</v>
      </c>
      <c r="E22" s="119" t="s">
        <v>128</v>
      </c>
      <c r="F22" s="119" t="s">
        <v>90</v>
      </c>
      <c r="G22" s="119" t="s">
        <v>56</v>
      </c>
      <c r="H22" s="119"/>
      <c r="I22" s="117">
        <v>240.0</v>
      </c>
      <c r="J22" s="118"/>
      <c r="K22" s="46"/>
      <c r="L22" s="46"/>
      <c r="M22" s="46"/>
      <c r="N22" s="117"/>
      <c r="O22" s="119"/>
      <c r="P22" s="119" t="s">
        <v>119</v>
      </c>
      <c r="Q22" s="120"/>
      <c r="R22" s="193"/>
      <c r="S22" s="194"/>
      <c r="T22" s="195"/>
      <c r="U22" s="195"/>
      <c r="V22" s="195"/>
      <c r="W22" s="195"/>
      <c r="X22" s="195"/>
      <c r="Y22" s="195"/>
      <c r="Z22" s="195"/>
      <c r="AA22" s="195"/>
    </row>
    <row r="23" ht="20.25" customHeight="1">
      <c r="A23" s="192" t="s">
        <v>108</v>
      </c>
      <c r="B23" s="118">
        <v>46062.0</v>
      </c>
      <c r="C23" s="119"/>
      <c r="D23" s="119" t="s">
        <v>189</v>
      </c>
      <c r="E23" s="119" t="s">
        <v>135</v>
      </c>
      <c r="F23" s="119" t="s">
        <v>90</v>
      </c>
      <c r="G23" s="119" t="s">
        <v>49</v>
      </c>
      <c r="H23" s="119"/>
      <c r="I23" s="117">
        <v>1640.0</v>
      </c>
      <c r="J23" s="118"/>
      <c r="K23" s="46"/>
      <c r="L23" s="46"/>
      <c r="M23" s="46"/>
      <c r="N23" s="117"/>
      <c r="O23" s="119"/>
      <c r="P23" s="119"/>
      <c r="Q23" s="120"/>
      <c r="R23" s="211" t="s">
        <v>190</v>
      </c>
      <c r="S23" s="194"/>
      <c r="T23" s="195"/>
      <c r="U23" s="195"/>
      <c r="V23" s="195"/>
      <c r="W23" s="195"/>
      <c r="X23" s="195"/>
      <c r="Y23" s="195"/>
      <c r="Z23" s="195"/>
      <c r="AA23" s="195"/>
    </row>
    <row r="24" ht="20.25" customHeight="1">
      <c r="A24" s="192" t="s">
        <v>121</v>
      </c>
      <c r="B24" s="118">
        <v>46062.0</v>
      </c>
      <c r="C24" s="119"/>
      <c r="D24" s="119" t="s">
        <v>191</v>
      </c>
      <c r="E24" s="119" t="s">
        <v>128</v>
      </c>
      <c r="F24" s="119" t="s">
        <v>90</v>
      </c>
      <c r="G24" s="119" t="s">
        <v>49</v>
      </c>
      <c r="H24" s="119"/>
      <c r="I24" s="117">
        <v>4585.0</v>
      </c>
      <c r="J24" s="118"/>
      <c r="K24" s="46"/>
      <c r="L24" s="46"/>
      <c r="M24" s="46"/>
      <c r="N24" s="117"/>
      <c r="O24" s="119"/>
      <c r="P24" s="119" t="s">
        <v>97</v>
      </c>
      <c r="Q24" s="120"/>
      <c r="R24" s="193"/>
      <c r="S24" s="194"/>
      <c r="T24" s="195"/>
      <c r="U24" s="195"/>
      <c r="V24" s="195"/>
      <c r="W24" s="195"/>
      <c r="X24" s="195"/>
      <c r="Y24" s="195"/>
      <c r="Z24" s="195"/>
      <c r="AA24" s="195"/>
    </row>
    <row r="25" ht="20.25" customHeight="1">
      <c r="A25" s="192" t="s">
        <v>121</v>
      </c>
      <c r="B25" s="118">
        <v>46062.0</v>
      </c>
      <c r="C25" s="119"/>
      <c r="D25" s="119" t="s">
        <v>192</v>
      </c>
      <c r="E25" s="119" t="s">
        <v>135</v>
      </c>
      <c r="F25" s="119" t="s">
        <v>90</v>
      </c>
      <c r="G25" s="119" t="s">
        <v>49</v>
      </c>
      <c r="H25" s="119"/>
      <c r="I25" s="117">
        <v>480.0</v>
      </c>
      <c r="J25" s="118"/>
      <c r="K25" s="46"/>
      <c r="L25" s="46"/>
      <c r="M25" s="46"/>
      <c r="N25" s="117"/>
      <c r="O25" s="119"/>
      <c r="P25" s="119" t="s">
        <v>158</v>
      </c>
      <c r="Q25" s="197">
        <v>46077.0</v>
      </c>
      <c r="R25" s="212" t="s">
        <v>193</v>
      </c>
      <c r="S25" s="194"/>
      <c r="T25" s="195"/>
      <c r="U25" s="195"/>
      <c r="V25" s="195"/>
      <c r="W25" s="195"/>
      <c r="X25" s="195"/>
      <c r="Y25" s="195"/>
      <c r="Z25" s="195"/>
      <c r="AA25" s="195"/>
    </row>
    <row r="26" ht="20.25" customHeight="1">
      <c r="A26" s="192" t="s">
        <v>121</v>
      </c>
      <c r="B26" s="118">
        <v>46062.0</v>
      </c>
      <c r="C26" s="119"/>
      <c r="D26" s="119" t="s">
        <v>194</v>
      </c>
      <c r="E26" s="119" t="s">
        <v>128</v>
      </c>
      <c r="F26" s="119" t="s">
        <v>96</v>
      </c>
      <c r="G26" s="119" t="s">
        <v>49</v>
      </c>
      <c r="H26" s="119"/>
      <c r="I26" s="117">
        <v>590.0</v>
      </c>
      <c r="J26" s="118"/>
      <c r="K26" s="46"/>
      <c r="L26" s="46"/>
      <c r="M26" s="46"/>
      <c r="N26" s="117"/>
      <c r="O26" s="119"/>
      <c r="P26" s="119" t="s">
        <v>195</v>
      </c>
      <c r="Q26" s="197">
        <v>46072.0</v>
      </c>
      <c r="R26" s="212" t="s">
        <v>196</v>
      </c>
      <c r="S26" s="194"/>
      <c r="T26" s="195"/>
      <c r="U26" s="195"/>
      <c r="V26" s="195"/>
      <c r="W26" s="195"/>
      <c r="X26" s="195"/>
      <c r="Y26" s="195"/>
      <c r="Z26" s="195"/>
      <c r="AA26" s="195"/>
    </row>
    <row r="27" ht="20.25" customHeight="1">
      <c r="A27" s="192" t="s">
        <v>121</v>
      </c>
      <c r="B27" s="118">
        <v>46063.0</v>
      </c>
      <c r="C27" s="119"/>
      <c r="D27" s="119" t="s">
        <v>197</v>
      </c>
      <c r="E27" s="119" t="s">
        <v>123</v>
      </c>
      <c r="F27" s="119" t="s">
        <v>90</v>
      </c>
      <c r="G27" s="119" t="s">
        <v>50</v>
      </c>
      <c r="H27" s="119"/>
      <c r="I27" s="117">
        <v>4130.0</v>
      </c>
      <c r="J27" s="118"/>
      <c r="K27" s="46"/>
      <c r="L27" s="46"/>
      <c r="M27" s="46"/>
      <c r="N27" s="117"/>
      <c r="O27" s="119"/>
      <c r="P27" s="119" t="s">
        <v>119</v>
      </c>
      <c r="Q27" s="120"/>
      <c r="R27" s="193"/>
      <c r="S27" s="194"/>
      <c r="T27" s="195"/>
      <c r="U27" s="195"/>
      <c r="V27" s="195"/>
      <c r="W27" s="195"/>
      <c r="X27" s="195"/>
      <c r="Y27" s="195"/>
      <c r="Z27" s="195"/>
      <c r="AA27" s="195"/>
    </row>
    <row r="28" ht="20.25" customHeight="1">
      <c r="A28" s="192" t="s">
        <v>121</v>
      </c>
      <c r="B28" s="118">
        <v>46064.0</v>
      </c>
      <c r="C28" s="119"/>
      <c r="D28" s="119" t="s">
        <v>198</v>
      </c>
      <c r="E28" s="119" t="s">
        <v>123</v>
      </c>
      <c r="F28" s="119" t="s">
        <v>90</v>
      </c>
      <c r="G28" s="119" t="s">
        <v>50</v>
      </c>
      <c r="H28" s="119"/>
      <c r="I28" s="117">
        <v>880.0</v>
      </c>
      <c r="J28" s="118"/>
      <c r="K28" s="46"/>
      <c r="L28" s="46"/>
      <c r="M28" s="46"/>
      <c r="N28" s="117"/>
      <c r="O28" s="119"/>
      <c r="P28" s="119" t="s">
        <v>119</v>
      </c>
      <c r="Q28" s="197">
        <v>46066.0</v>
      </c>
      <c r="R28" s="193"/>
      <c r="S28" s="194"/>
      <c r="T28" s="195"/>
      <c r="U28" s="195"/>
      <c r="V28" s="195"/>
      <c r="W28" s="195"/>
      <c r="X28" s="195"/>
      <c r="Y28" s="195"/>
      <c r="Z28" s="195"/>
      <c r="AA28" s="195"/>
    </row>
    <row r="29" ht="20.25" customHeight="1">
      <c r="A29" s="192" t="s">
        <v>121</v>
      </c>
      <c r="B29" s="118">
        <v>46064.0</v>
      </c>
      <c r="C29" s="119"/>
      <c r="D29" s="119" t="s">
        <v>199</v>
      </c>
      <c r="E29" s="119" t="s">
        <v>128</v>
      </c>
      <c r="F29" s="119" t="s">
        <v>90</v>
      </c>
      <c r="G29" s="119" t="s">
        <v>49</v>
      </c>
      <c r="H29" s="119"/>
      <c r="I29" s="117">
        <v>1601.0</v>
      </c>
      <c r="J29" s="118"/>
      <c r="K29" s="46"/>
      <c r="L29" s="46"/>
      <c r="M29" s="46"/>
      <c r="N29" s="117"/>
      <c r="O29" s="119"/>
      <c r="P29" s="119" t="s">
        <v>91</v>
      </c>
      <c r="Q29" s="197">
        <v>46073.0</v>
      </c>
      <c r="R29" s="193"/>
      <c r="S29" s="194"/>
      <c r="T29" s="195"/>
      <c r="U29" s="195"/>
      <c r="V29" s="195"/>
      <c r="W29" s="195"/>
      <c r="X29" s="195"/>
      <c r="Y29" s="195"/>
      <c r="Z29" s="195"/>
      <c r="AA29" s="195"/>
    </row>
    <row r="30" ht="20.25" customHeight="1">
      <c r="A30" s="192" t="s">
        <v>121</v>
      </c>
      <c r="B30" s="118">
        <v>46065.0</v>
      </c>
      <c r="C30" s="119"/>
      <c r="D30" s="119" t="s">
        <v>200</v>
      </c>
      <c r="E30" s="119" t="s">
        <v>113</v>
      </c>
      <c r="F30" s="119" t="s">
        <v>90</v>
      </c>
      <c r="G30" s="119" t="s">
        <v>57</v>
      </c>
      <c r="H30" s="119"/>
      <c r="I30" s="117">
        <v>70.0</v>
      </c>
      <c r="J30" s="118"/>
      <c r="K30" s="46"/>
      <c r="L30" s="46"/>
      <c r="M30" s="46"/>
      <c r="N30" s="117"/>
      <c r="O30" s="119"/>
      <c r="P30" s="119" t="s">
        <v>119</v>
      </c>
      <c r="Q30" s="120"/>
      <c r="R30" s="193" t="s">
        <v>201</v>
      </c>
      <c r="S30" s="194"/>
      <c r="T30" s="195"/>
      <c r="U30" s="195"/>
      <c r="V30" s="195"/>
      <c r="W30" s="195"/>
      <c r="X30" s="195"/>
      <c r="Y30" s="195"/>
      <c r="Z30" s="195"/>
      <c r="AA30" s="195"/>
    </row>
    <row r="31" ht="20.25" customHeight="1">
      <c r="A31" s="192" t="s">
        <v>121</v>
      </c>
      <c r="B31" s="118">
        <v>46065.0</v>
      </c>
      <c r="C31" s="119"/>
      <c r="D31" s="119" t="s">
        <v>202</v>
      </c>
      <c r="E31" s="119" t="s">
        <v>128</v>
      </c>
      <c r="F31" s="119" t="s">
        <v>90</v>
      </c>
      <c r="G31" s="119" t="s">
        <v>58</v>
      </c>
      <c r="H31" s="119"/>
      <c r="I31" s="117">
        <v>650.0</v>
      </c>
      <c r="J31" s="118"/>
      <c r="K31" s="46"/>
      <c r="L31" s="46"/>
      <c r="M31" s="46"/>
      <c r="N31" s="117"/>
      <c r="O31" s="119"/>
      <c r="P31" s="119" t="s">
        <v>158</v>
      </c>
      <c r="Q31" s="197">
        <v>46072.0</v>
      </c>
      <c r="R31" s="213" t="s">
        <v>203</v>
      </c>
      <c r="S31" s="194"/>
      <c r="T31" s="195"/>
      <c r="U31" s="195"/>
      <c r="V31" s="195"/>
      <c r="W31" s="195"/>
      <c r="X31" s="195"/>
      <c r="Y31" s="195"/>
      <c r="Z31" s="195"/>
      <c r="AA31" s="195"/>
    </row>
    <row r="32" ht="20.25" customHeight="1">
      <c r="A32" s="192" t="s">
        <v>121</v>
      </c>
      <c r="B32" s="118">
        <v>46066.0</v>
      </c>
      <c r="C32" s="119"/>
      <c r="D32" s="119" t="s">
        <v>204</v>
      </c>
      <c r="E32" s="119" t="s">
        <v>123</v>
      </c>
      <c r="F32" s="119" t="s">
        <v>90</v>
      </c>
      <c r="G32" s="119" t="s">
        <v>50</v>
      </c>
      <c r="H32" s="119"/>
      <c r="I32" s="117">
        <v>230.0</v>
      </c>
      <c r="J32" s="118"/>
      <c r="K32" s="46"/>
      <c r="L32" s="46"/>
      <c r="M32" s="46"/>
      <c r="N32" s="117"/>
      <c r="O32" s="119"/>
      <c r="P32" s="119" t="s">
        <v>119</v>
      </c>
      <c r="Q32" s="120"/>
      <c r="R32" s="214"/>
      <c r="S32" s="194"/>
      <c r="T32" s="195"/>
      <c r="U32" s="195"/>
      <c r="V32" s="195"/>
      <c r="W32" s="195"/>
      <c r="X32" s="195"/>
      <c r="Y32" s="195"/>
      <c r="Z32" s="195"/>
      <c r="AA32" s="195"/>
    </row>
    <row r="33" ht="20.25" customHeight="1">
      <c r="A33" s="192" t="s">
        <v>108</v>
      </c>
      <c r="B33" s="118">
        <v>46069.0</v>
      </c>
      <c r="C33" s="119"/>
      <c r="D33" s="119" t="s">
        <v>205</v>
      </c>
      <c r="E33" s="119" t="s">
        <v>128</v>
      </c>
      <c r="F33" s="119" t="s">
        <v>90</v>
      </c>
      <c r="G33" s="119" t="s">
        <v>49</v>
      </c>
      <c r="H33" s="119"/>
      <c r="I33" s="117">
        <v>1220.0</v>
      </c>
      <c r="J33" s="118"/>
      <c r="K33" s="46"/>
      <c r="L33" s="46"/>
      <c r="M33" s="46"/>
      <c r="N33" s="117"/>
      <c r="O33" s="119"/>
      <c r="P33" s="119"/>
      <c r="Q33" s="120"/>
      <c r="R33" s="193" t="s">
        <v>206</v>
      </c>
      <c r="S33" s="194"/>
      <c r="T33" s="195"/>
      <c r="U33" s="195"/>
      <c r="V33" s="195"/>
      <c r="W33" s="195"/>
      <c r="X33" s="195"/>
      <c r="Y33" s="195"/>
      <c r="Z33" s="195"/>
      <c r="AA33" s="195"/>
    </row>
    <row r="34" ht="20.25" customHeight="1">
      <c r="A34" s="192" t="s">
        <v>121</v>
      </c>
      <c r="B34" s="118">
        <v>46069.0</v>
      </c>
      <c r="C34" s="119"/>
      <c r="D34" s="119" t="s">
        <v>207</v>
      </c>
      <c r="E34" s="119" t="s">
        <v>128</v>
      </c>
      <c r="F34" s="119" t="s">
        <v>90</v>
      </c>
      <c r="G34" s="119" t="s">
        <v>49</v>
      </c>
      <c r="H34" s="119"/>
      <c r="I34" s="117">
        <v>3490.0</v>
      </c>
      <c r="J34" s="118"/>
      <c r="K34" s="46"/>
      <c r="L34" s="46"/>
      <c r="M34" s="46"/>
      <c r="N34" s="117"/>
      <c r="O34" s="119"/>
      <c r="P34" s="119" t="s">
        <v>144</v>
      </c>
      <c r="Q34" s="197">
        <v>46078.0</v>
      </c>
      <c r="R34" s="193"/>
      <c r="S34" s="194"/>
      <c r="T34" s="195"/>
      <c r="U34" s="195"/>
      <c r="V34" s="195"/>
      <c r="W34" s="195"/>
      <c r="X34" s="195"/>
      <c r="Y34" s="195"/>
      <c r="Z34" s="195"/>
      <c r="AA34" s="195"/>
    </row>
    <row r="35" ht="20.25" customHeight="1">
      <c r="A35" s="192" t="s">
        <v>108</v>
      </c>
      <c r="B35" s="118">
        <v>46069.0</v>
      </c>
      <c r="C35" s="119"/>
      <c r="D35" s="119" t="s">
        <v>208</v>
      </c>
      <c r="E35" s="119" t="s">
        <v>128</v>
      </c>
      <c r="F35" s="119" t="s">
        <v>96</v>
      </c>
      <c r="G35" s="119" t="s">
        <v>49</v>
      </c>
      <c r="H35" s="119"/>
      <c r="I35" s="117">
        <v>21425.0</v>
      </c>
      <c r="J35" s="118"/>
      <c r="K35" s="46"/>
      <c r="L35" s="46"/>
      <c r="M35" s="46"/>
      <c r="N35" s="117"/>
      <c r="O35" s="119"/>
      <c r="P35" s="119"/>
      <c r="Q35" s="120"/>
      <c r="R35" s="209" t="s">
        <v>209</v>
      </c>
      <c r="S35" s="194"/>
      <c r="T35" s="195"/>
      <c r="U35" s="195"/>
      <c r="V35" s="195"/>
      <c r="W35" s="195"/>
      <c r="X35" s="195"/>
      <c r="Y35" s="195"/>
      <c r="Z35" s="195"/>
      <c r="AA35" s="195"/>
    </row>
    <row r="36" ht="20.25" customHeight="1">
      <c r="A36" s="192" t="s">
        <v>121</v>
      </c>
      <c r="B36" s="118">
        <v>46070.0</v>
      </c>
      <c r="C36" s="119"/>
      <c r="D36" s="119" t="s">
        <v>210</v>
      </c>
      <c r="E36" s="119" t="s">
        <v>123</v>
      </c>
      <c r="F36" s="119" t="s">
        <v>96</v>
      </c>
      <c r="G36" s="119" t="s">
        <v>50</v>
      </c>
      <c r="H36" s="119"/>
      <c r="I36" s="117">
        <v>800.0</v>
      </c>
      <c r="J36" s="118"/>
      <c r="K36" s="46"/>
      <c r="L36" s="46"/>
      <c r="M36" s="46"/>
      <c r="N36" s="117"/>
      <c r="O36" s="119"/>
      <c r="P36" s="119" t="s">
        <v>119</v>
      </c>
      <c r="Q36" s="120"/>
      <c r="R36" s="193"/>
      <c r="S36" s="194"/>
      <c r="T36" s="195"/>
      <c r="U36" s="195"/>
      <c r="V36" s="195"/>
      <c r="W36" s="195"/>
      <c r="X36" s="195"/>
      <c r="Y36" s="195"/>
      <c r="Z36" s="195"/>
      <c r="AA36" s="195"/>
    </row>
    <row r="37" ht="20.25" customHeight="1">
      <c r="A37" s="192" t="s">
        <v>121</v>
      </c>
      <c r="B37" s="118">
        <v>46070.0</v>
      </c>
      <c r="C37" s="119"/>
      <c r="D37" s="119" t="s">
        <v>211</v>
      </c>
      <c r="E37" s="119" t="s">
        <v>113</v>
      </c>
      <c r="F37" s="119" t="s">
        <v>90</v>
      </c>
      <c r="G37" s="119" t="s">
        <v>50</v>
      </c>
      <c r="H37" s="119"/>
      <c r="I37" s="117">
        <v>500.0</v>
      </c>
      <c r="J37" s="118"/>
      <c r="K37" s="46"/>
      <c r="L37" s="46"/>
      <c r="M37" s="46"/>
      <c r="N37" s="117"/>
      <c r="O37" s="119"/>
      <c r="P37" s="119" t="s">
        <v>119</v>
      </c>
      <c r="Q37" s="120"/>
      <c r="R37" s="193"/>
      <c r="S37" s="194"/>
      <c r="T37" s="195"/>
      <c r="U37" s="195"/>
      <c r="V37" s="195"/>
      <c r="W37" s="195"/>
      <c r="X37" s="195"/>
      <c r="Y37" s="195"/>
      <c r="Z37" s="195"/>
      <c r="AA37" s="195"/>
    </row>
    <row r="38" ht="20.25" customHeight="1">
      <c r="A38" s="192" t="s">
        <v>121</v>
      </c>
      <c r="B38" s="118">
        <v>46070.0</v>
      </c>
      <c r="C38" s="119"/>
      <c r="D38" s="119" t="s">
        <v>212</v>
      </c>
      <c r="E38" s="119" t="s">
        <v>128</v>
      </c>
      <c r="F38" s="119" t="s">
        <v>96</v>
      </c>
      <c r="G38" s="119" t="s">
        <v>50</v>
      </c>
      <c r="H38" s="119"/>
      <c r="I38" s="117">
        <v>4905.0</v>
      </c>
      <c r="J38" s="118"/>
      <c r="K38" s="46"/>
      <c r="L38" s="46"/>
      <c r="M38" s="46"/>
      <c r="N38" s="117"/>
      <c r="O38" s="119"/>
      <c r="P38" s="119" t="s">
        <v>195</v>
      </c>
      <c r="Q38" s="120"/>
      <c r="R38" s="193" t="s">
        <v>213</v>
      </c>
      <c r="S38" s="194"/>
      <c r="T38" s="195"/>
      <c r="U38" s="195"/>
      <c r="V38" s="195"/>
      <c r="W38" s="195"/>
      <c r="X38" s="195"/>
      <c r="Y38" s="195"/>
      <c r="Z38" s="195"/>
      <c r="AA38" s="195"/>
    </row>
    <row r="39" ht="20.25" customHeight="1">
      <c r="A39" s="192" t="s">
        <v>121</v>
      </c>
      <c r="B39" s="118">
        <v>46070.0</v>
      </c>
      <c r="C39" s="119"/>
      <c r="D39" s="119" t="s">
        <v>214</v>
      </c>
      <c r="E39" s="119" t="s">
        <v>123</v>
      </c>
      <c r="F39" s="119" t="s">
        <v>96</v>
      </c>
      <c r="G39" s="119" t="s">
        <v>50</v>
      </c>
      <c r="H39" s="119"/>
      <c r="I39" s="117">
        <v>280.0</v>
      </c>
      <c r="J39" s="118"/>
      <c r="K39" s="46"/>
      <c r="L39" s="46"/>
      <c r="M39" s="46"/>
      <c r="N39" s="117"/>
      <c r="O39" s="119"/>
      <c r="P39" s="119" t="s">
        <v>119</v>
      </c>
      <c r="Q39" s="120"/>
      <c r="R39" s="193"/>
      <c r="S39" s="194"/>
      <c r="T39" s="195"/>
      <c r="U39" s="195"/>
      <c r="V39" s="195"/>
      <c r="W39" s="195"/>
      <c r="X39" s="195"/>
      <c r="Y39" s="195"/>
      <c r="Z39" s="195"/>
      <c r="AA39" s="195"/>
    </row>
    <row r="40" ht="20.25" customHeight="1">
      <c r="A40" s="192" t="s">
        <v>108</v>
      </c>
      <c r="B40" s="118">
        <v>46071.0</v>
      </c>
      <c r="C40" s="119"/>
      <c r="D40" s="119" t="s">
        <v>215</v>
      </c>
      <c r="E40" s="119" t="s">
        <v>135</v>
      </c>
      <c r="F40" s="119" t="s">
        <v>90</v>
      </c>
      <c r="G40" s="119" t="s">
        <v>49</v>
      </c>
      <c r="H40" s="119"/>
      <c r="I40" s="117">
        <v>4800.0</v>
      </c>
      <c r="J40" s="118"/>
      <c r="K40" s="46"/>
      <c r="L40" s="46"/>
      <c r="M40" s="46"/>
      <c r="N40" s="117"/>
      <c r="O40" s="119"/>
      <c r="P40" s="119"/>
      <c r="Q40" s="120"/>
      <c r="R40" s="193" t="s">
        <v>216</v>
      </c>
      <c r="S40" s="194"/>
      <c r="T40" s="195"/>
      <c r="U40" s="195"/>
      <c r="V40" s="195"/>
      <c r="W40" s="195"/>
      <c r="X40" s="195"/>
      <c r="Y40" s="195"/>
      <c r="Z40" s="195"/>
      <c r="AA40" s="195"/>
    </row>
    <row r="41" ht="20.25" customHeight="1">
      <c r="A41" s="192" t="s">
        <v>121</v>
      </c>
      <c r="B41" s="118">
        <v>46071.0</v>
      </c>
      <c r="C41" s="119"/>
      <c r="D41" s="119" t="s">
        <v>217</v>
      </c>
      <c r="E41" s="119" t="s">
        <v>123</v>
      </c>
      <c r="F41" s="119" t="s">
        <v>96</v>
      </c>
      <c r="G41" s="119" t="s">
        <v>50</v>
      </c>
      <c r="H41" s="119"/>
      <c r="I41" s="117">
        <v>458.0</v>
      </c>
      <c r="J41" s="118"/>
      <c r="K41" s="46"/>
      <c r="L41" s="46"/>
      <c r="M41" s="46"/>
      <c r="N41" s="117"/>
      <c r="O41" s="119"/>
      <c r="P41" s="119" t="s">
        <v>119</v>
      </c>
      <c r="Q41" s="197">
        <v>46168.0</v>
      </c>
      <c r="R41" s="193"/>
      <c r="S41" s="194"/>
      <c r="T41" s="195"/>
      <c r="U41" s="195"/>
      <c r="V41" s="195"/>
      <c r="W41" s="195"/>
      <c r="X41" s="195"/>
      <c r="Y41" s="195"/>
      <c r="Z41" s="195"/>
      <c r="AA41" s="195"/>
    </row>
    <row r="42" ht="20.25" customHeight="1">
      <c r="A42" s="192" t="s">
        <v>108</v>
      </c>
      <c r="B42" s="118">
        <v>46071.0</v>
      </c>
      <c r="C42" s="119"/>
      <c r="D42" s="119" t="s">
        <v>218</v>
      </c>
      <c r="E42" s="119" t="s">
        <v>110</v>
      </c>
      <c r="F42" s="119" t="s">
        <v>96</v>
      </c>
      <c r="G42" s="119" t="s">
        <v>49</v>
      </c>
      <c r="H42" s="119"/>
      <c r="I42" s="117">
        <v>7000.0</v>
      </c>
      <c r="J42" s="118"/>
      <c r="K42" s="46"/>
      <c r="L42" s="46"/>
      <c r="M42" s="46"/>
      <c r="N42" s="117"/>
      <c r="O42" s="119"/>
      <c r="P42" s="119"/>
      <c r="Q42" s="120"/>
      <c r="R42" s="198" t="s">
        <v>219</v>
      </c>
      <c r="S42" s="194"/>
      <c r="T42" s="195"/>
      <c r="U42" s="195"/>
      <c r="V42" s="195"/>
      <c r="W42" s="195"/>
      <c r="X42" s="195"/>
      <c r="Y42" s="195"/>
      <c r="Z42" s="195"/>
      <c r="AA42" s="195"/>
    </row>
    <row r="43" ht="20.25" customHeight="1">
      <c r="A43" s="192" t="s">
        <v>121</v>
      </c>
      <c r="B43" s="118">
        <v>46071.0</v>
      </c>
      <c r="C43" s="119"/>
      <c r="D43" s="119" t="s">
        <v>220</v>
      </c>
      <c r="E43" s="119" t="s">
        <v>126</v>
      </c>
      <c r="F43" s="119" t="s">
        <v>96</v>
      </c>
      <c r="G43" s="119" t="s">
        <v>50</v>
      </c>
      <c r="H43" s="119"/>
      <c r="I43" s="117">
        <v>250.0</v>
      </c>
      <c r="J43" s="118"/>
      <c r="K43" s="46"/>
      <c r="L43" s="46"/>
      <c r="M43" s="46"/>
      <c r="N43" s="117"/>
      <c r="O43" s="119"/>
      <c r="P43" s="119" t="s">
        <v>119</v>
      </c>
      <c r="Q43" s="120"/>
      <c r="R43" s="193"/>
      <c r="S43" s="194"/>
      <c r="T43" s="195"/>
      <c r="U43" s="195"/>
      <c r="V43" s="195"/>
      <c r="W43" s="195"/>
      <c r="X43" s="195"/>
      <c r="Y43" s="195"/>
      <c r="Z43" s="195"/>
      <c r="AA43" s="195"/>
    </row>
    <row r="44" ht="20.25" customHeight="1">
      <c r="A44" s="192" t="s">
        <v>121</v>
      </c>
      <c r="B44" s="118">
        <v>46071.0</v>
      </c>
      <c r="C44" s="119"/>
      <c r="D44" s="119" t="s">
        <v>221</v>
      </c>
      <c r="E44" s="119" t="s">
        <v>110</v>
      </c>
      <c r="F44" s="119" t="s">
        <v>96</v>
      </c>
      <c r="G44" s="119" t="s">
        <v>49</v>
      </c>
      <c r="H44" s="119"/>
      <c r="I44" s="117">
        <v>3393.0</v>
      </c>
      <c r="J44" s="118"/>
      <c r="K44" s="46"/>
      <c r="L44" s="46"/>
      <c r="M44" s="46"/>
      <c r="N44" s="117"/>
      <c r="O44" s="119"/>
      <c r="P44" s="119" t="s">
        <v>195</v>
      </c>
      <c r="Q44" s="120"/>
      <c r="R44" s="193"/>
      <c r="S44" s="194"/>
      <c r="T44" s="195"/>
      <c r="U44" s="195"/>
      <c r="V44" s="195"/>
      <c r="W44" s="195"/>
      <c r="X44" s="195"/>
      <c r="Y44" s="195"/>
      <c r="Z44" s="195"/>
      <c r="AA44" s="195"/>
    </row>
    <row r="45" ht="20.25" customHeight="1">
      <c r="A45" s="192" t="s">
        <v>108</v>
      </c>
      <c r="B45" s="118">
        <v>46071.0</v>
      </c>
      <c r="C45" s="119"/>
      <c r="D45" s="119" t="s">
        <v>222</v>
      </c>
      <c r="E45" s="119" t="s">
        <v>110</v>
      </c>
      <c r="F45" s="119" t="s">
        <v>90</v>
      </c>
      <c r="G45" s="119" t="s">
        <v>49</v>
      </c>
      <c r="H45" s="119"/>
      <c r="I45" s="117">
        <v>2610.0</v>
      </c>
      <c r="J45" s="118"/>
      <c r="K45" s="46"/>
      <c r="L45" s="46"/>
      <c r="M45" s="46"/>
      <c r="N45" s="117"/>
      <c r="O45" s="119"/>
      <c r="P45" s="119"/>
      <c r="Q45" s="120"/>
      <c r="R45" s="193"/>
      <c r="S45" s="194"/>
      <c r="T45" s="195"/>
      <c r="U45" s="195"/>
      <c r="V45" s="195"/>
      <c r="W45" s="195"/>
      <c r="X45" s="195"/>
      <c r="Y45" s="195"/>
      <c r="Z45" s="195"/>
      <c r="AA45" s="195"/>
    </row>
    <row r="46" ht="20.25" customHeight="1">
      <c r="A46" s="192" t="s">
        <v>121</v>
      </c>
      <c r="B46" s="118">
        <v>46071.0</v>
      </c>
      <c r="C46" s="119"/>
      <c r="D46" s="119" t="s">
        <v>223</v>
      </c>
      <c r="E46" s="119" t="s">
        <v>123</v>
      </c>
      <c r="F46" s="119" t="s">
        <v>96</v>
      </c>
      <c r="G46" s="119" t="s">
        <v>50</v>
      </c>
      <c r="H46" s="119"/>
      <c r="I46" s="117">
        <v>1200.0</v>
      </c>
      <c r="J46" s="118"/>
      <c r="K46" s="46"/>
      <c r="L46" s="46"/>
      <c r="M46" s="46"/>
      <c r="N46" s="117"/>
      <c r="O46" s="119"/>
      <c r="P46" s="119" t="s">
        <v>119</v>
      </c>
      <c r="Q46" s="120"/>
      <c r="R46" s="193"/>
      <c r="S46" s="194"/>
      <c r="T46" s="195"/>
      <c r="U46" s="195"/>
      <c r="V46" s="195"/>
      <c r="W46" s="195"/>
      <c r="X46" s="195"/>
      <c r="Y46" s="195"/>
      <c r="Z46" s="195"/>
      <c r="AA46" s="195"/>
    </row>
    <row r="47" ht="20.25" customHeight="1">
      <c r="A47" s="192" t="s">
        <v>121</v>
      </c>
      <c r="B47" s="118">
        <v>46071.0</v>
      </c>
      <c r="C47" s="119"/>
      <c r="D47" s="119" t="s">
        <v>224</v>
      </c>
      <c r="E47" s="119" t="s">
        <v>128</v>
      </c>
      <c r="F47" s="119" t="s">
        <v>90</v>
      </c>
      <c r="G47" s="119" t="s">
        <v>49</v>
      </c>
      <c r="H47" s="119"/>
      <c r="I47" s="117">
        <v>8400.0</v>
      </c>
      <c r="J47" s="118"/>
      <c r="K47" s="46"/>
      <c r="L47" s="46"/>
      <c r="M47" s="46"/>
      <c r="N47" s="117"/>
      <c r="O47" s="119"/>
      <c r="P47" s="119" t="s">
        <v>144</v>
      </c>
      <c r="Q47" s="120"/>
      <c r="R47" s="193"/>
      <c r="S47" s="194"/>
      <c r="T47" s="195"/>
      <c r="U47" s="195"/>
      <c r="V47" s="195"/>
      <c r="W47" s="195"/>
      <c r="X47" s="195"/>
      <c r="Y47" s="195"/>
      <c r="Z47" s="195"/>
      <c r="AA47" s="195"/>
    </row>
    <row r="48" ht="20.25" customHeight="1">
      <c r="A48" s="192" t="s">
        <v>121</v>
      </c>
      <c r="B48" s="118">
        <v>46071.0</v>
      </c>
      <c r="C48" s="119"/>
      <c r="D48" s="119" t="s">
        <v>225</v>
      </c>
      <c r="E48" s="119" t="s">
        <v>128</v>
      </c>
      <c r="F48" s="119" t="s">
        <v>96</v>
      </c>
      <c r="G48" s="119" t="s">
        <v>49</v>
      </c>
      <c r="H48" s="119"/>
      <c r="I48" s="117">
        <v>19000.0</v>
      </c>
      <c r="J48" s="118"/>
      <c r="K48" s="46"/>
      <c r="L48" s="46"/>
      <c r="M48" s="46"/>
      <c r="N48" s="117"/>
      <c r="O48" s="119"/>
      <c r="P48" s="119" t="s">
        <v>144</v>
      </c>
      <c r="Q48" s="120"/>
      <c r="R48" s="193"/>
      <c r="S48" s="194"/>
      <c r="T48" s="195"/>
      <c r="U48" s="195"/>
      <c r="V48" s="195"/>
      <c r="W48" s="195"/>
      <c r="X48" s="195"/>
      <c r="Y48" s="195"/>
      <c r="Z48" s="195"/>
      <c r="AA48" s="195"/>
    </row>
    <row r="49" ht="20.25" customHeight="1">
      <c r="A49" s="192" t="s">
        <v>124</v>
      </c>
      <c r="B49" s="118">
        <v>46071.0</v>
      </c>
      <c r="C49" s="119"/>
      <c r="D49" s="119" t="s">
        <v>226</v>
      </c>
      <c r="E49" s="119" t="s">
        <v>227</v>
      </c>
      <c r="F49" s="119" t="s">
        <v>90</v>
      </c>
      <c r="G49" s="119" t="s">
        <v>155</v>
      </c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93"/>
      <c r="S49" s="194"/>
      <c r="T49" s="195"/>
      <c r="U49" s="195"/>
      <c r="V49" s="195"/>
      <c r="W49" s="195"/>
      <c r="X49" s="195"/>
      <c r="Y49" s="195"/>
      <c r="Z49" s="195"/>
      <c r="AA49" s="195"/>
    </row>
    <row r="50" ht="20.25" customHeight="1">
      <c r="A50" s="192" t="s">
        <v>121</v>
      </c>
      <c r="B50" s="118">
        <v>46072.0</v>
      </c>
      <c r="C50" s="119"/>
      <c r="D50" s="119" t="s">
        <v>228</v>
      </c>
      <c r="E50" s="119" t="s">
        <v>110</v>
      </c>
      <c r="F50" s="119" t="s">
        <v>90</v>
      </c>
      <c r="G50" s="119" t="s">
        <v>58</v>
      </c>
      <c r="H50" s="119"/>
      <c r="I50" s="117">
        <v>2750.0</v>
      </c>
      <c r="J50" s="118"/>
      <c r="K50" s="46"/>
      <c r="L50" s="46"/>
      <c r="M50" s="46"/>
      <c r="N50" s="117"/>
      <c r="O50" s="119"/>
      <c r="P50" s="119" t="s">
        <v>91</v>
      </c>
      <c r="Q50" s="120"/>
      <c r="R50" s="193"/>
      <c r="S50" s="194"/>
      <c r="T50" s="195"/>
      <c r="U50" s="195"/>
      <c r="V50" s="195"/>
      <c r="W50" s="195"/>
      <c r="X50" s="195"/>
      <c r="Y50" s="195"/>
      <c r="Z50" s="195"/>
      <c r="AA50" s="195"/>
    </row>
    <row r="51" ht="20.25" customHeight="1">
      <c r="A51" s="192" t="s">
        <v>124</v>
      </c>
      <c r="B51" s="118">
        <v>46072.0</v>
      </c>
      <c r="C51" s="119"/>
      <c r="D51" s="119" t="s">
        <v>229</v>
      </c>
      <c r="E51" s="119" t="s">
        <v>110</v>
      </c>
      <c r="F51" s="119" t="s">
        <v>90</v>
      </c>
      <c r="G51" s="119" t="s">
        <v>57</v>
      </c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93"/>
      <c r="S51" s="194"/>
      <c r="T51" s="195"/>
      <c r="U51" s="195"/>
      <c r="V51" s="195"/>
      <c r="W51" s="195"/>
      <c r="X51" s="195"/>
      <c r="Y51" s="195"/>
      <c r="Z51" s="195"/>
      <c r="AA51" s="195"/>
    </row>
    <row r="52" ht="20.25" customHeight="1">
      <c r="A52" s="192" t="s">
        <v>124</v>
      </c>
      <c r="B52" s="118">
        <v>46072.0</v>
      </c>
      <c r="C52" s="119"/>
      <c r="D52" s="119" t="s">
        <v>230</v>
      </c>
      <c r="E52" s="119" t="s">
        <v>128</v>
      </c>
      <c r="F52" s="119" t="s">
        <v>96</v>
      </c>
      <c r="G52" s="119" t="s">
        <v>56</v>
      </c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93"/>
      <c r="S52" s="194"/>
      <c r="T52" s="195"/>
      <c r="U52" s="195"/>
      <c r="V52" s="195"/>
      <c r="W52" s="195"/>
      <c r="X52" s="195"/>
      <c r="Y52" s="195"/>
      <c r="Z52" s="195"/>
      <c r="AA52" s="195"/>
    </row>
    <row r="53" ht="20.25" customHeight="1">
      <c r="A53" s="192" t="s">
        <v>124</v>
      </c>
      <c r="B53" s="118">
        <v>46072.0</v>
      </c>
      <c r="C53" s="119"/>
      <c r="D53" s="119" t="s">
        <v>231</v>
      </c>
      <c r="E53" s="119" t="s">
        <v>110</v>
      </c>
      <c r="F53" s="119" t="s">
        <v>96</v>
      </c>
      <c r="G53" s="119" t="s">
        <v>56</v>
      </c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93"/>
      <c r="S53" s="194"/>
      <c r="T53" s="195"/>
      <c r="U53" s="195"/>
      <c r="V53" s="195"/>
      <c r="W53" s="195"/>
      <c r="X53" s="195"/>
      <c r="Y53" s="195"/>
      <c r="Z53" s="195"/>
      <c r="AA53" s="195"/>
    </row>
    <row r="54" ht="20.25" customHeight="1">
      <c r="A54" s="192" t="s">
        <v>108</v>
      </c>
      <c r="B54" s="118">
        <v>46076.0</v>
      </c>
      <c r="C54" s="119"/>
      <c r="D54" s="119" t="s">
        <v>232</v>
      </c>
      <c r="E54" s="119" t="s">
        <v>110</v>
      </c>
      <c r="F54" s="119" t="s">
        <v>90</v>
      </c>
      <c r="G54" s="119" t="s">
        <v>51</v>
      </c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93" t="s">
        <v>233</v>
      </c>
      <c r="S54" s="194"/>
      <c r="T54" s="195"/>
      <c r="U54" s="195"/>
      <c r="V54" s="195"/>
      <c r="W54" s="195"/>
      <c r="X54" s="195"/>
      <c r="Y54" s="195"/>
      <c r="Z54" s="195"/>
      <c r="AA54" s="195"/>
    </row>
    <row r="55" ht="20.25" customHeight="1">
      <c r="A55" s="192" t="s">
        <v>234</v>
      </c>
      <c r="B55" s="118">
        <v>46077.0</v>
      </c>
      <c r="C55" s="119"/>
      <c r="D55" s="119" t="s">
        <v>235</v>
      </c>
      <c r="E55" s="119" t="s">
        <v>123</v>
      </c>
      <c r="F55" s="119" t="s">
        <v>90</v>
      </c>
      <c r="G55" s="119" t="s">
        <v>50</v>
      </c>
      <c r="H55" s="119"/>
      <c r="I55" s="117">
        <v>500.0</v>
      </c>
      <c r="J55" s="118"/>
      <c r="K55" s="46"/>
      <c r="L55" s="46"/>
      <c r="M55" s="46"/>
      <c r="N55" s="117"/>
      <c r="O55" s="119"/>
      <c r="P55" s="119"/>
      <c r="Q55" s="120"/>
      <c r="R55" s="193" t="s">
        <v>236</v>
      </c>
      <c r="S55" s="194"/>
      <c r="T55" s="195"/>
      <c r="U55" s="195"/>
      <c r="V55" s="195"/>
      <c r="W55" s="195"/>
      <c r="X55" s="195"/>
      <c r="Y55" s="195"/>
      <c r="Z55" s="195"/>
      <c r="AA55" s="195"/>
    </row>
    <row r="56" ht="20.25" customHeight="1">
      <c r="A56" s="192" t="s">
        <v>121</v>
      </c>
      <c r="B56" s="118">
        <v>46077.0</v>
      </c>
      <c r="C56" s="119"/>
      <c r="D56" s="119" t="s">
        <v>237</v>
      </c>
      <c r="E56" s="119" t="s">
        <v>128</v>
      </c>
      <c r="F56" s="119" t="s">
        <v>96</v>
      </c>
      <c r="G56" s="119" t="s">
        <v>50</v>
      </c>
      <c r="H56" s="119"/>
      <c r="I56" s="117">
        <v>3357.0</v>
      </c>
      <c r="J56" s="118"/>
      <c r="K56" s="46"/>
      <c r="L56" s="46"/>
      <c r="M56" s="46"/>
      <c r="N56" s="117"/>
      <c r="O56" s="119"/>
      <c r="P56" s="119" t="s">
        <v>158</v>
      </c>
      <c r="Q56" s="120"/>
      <c r="R56" s="193"/>
      <c r="S56" s="194"/>
      <c r="T56" s="195"/>
      <c r="U56" s="195"/>
      <c r="V56" s="195"/>
      <c r="W56" s="195"/>
      <c r="X56" s="195"/>
      <c r="Y56" s="195"/>
      <c r="Z56" s="195"/>
      <c r="AA56" s="195"/>
    </row>
    <row r="57" ht="20.25" customHeight="1">
      <c r="A57" s="192" t="s">
        <v>121</v>
      </c>
      <c r="B57" s="118">
        <v>46078.0</v>
      </c>
      <c r="C57" s="119"/>
      <c r="D57" s="119" t="s">
        <v>238</v>
      </c>
      <c r="E57" s="119" t="s">
        <v>123</v>
      </c>
      <c r="F57" s="119" t="s">
        <v>96</v>
      </c>
      <c r="G57" s="119" t="s">
        <v>50</v>
      </c>
      <c r="H57" s="119"/>
      <c r="I57" s="117">
        <v>73.0</v>
      </c>
      <c r="J57" s="118"/>
      <c r="K57" s="46"/>
      <c r="L57" s="46"/>
      <c r="M57" s="46"/>
      <c r="N57" s="117"/>
      <c r="O57" s="119"/>
      <c r="P57" s="119" t="s">
        <v>119</v>
      </c>
      <c r="Q57" s="120"/>
      <c r="R57" s="193"/>
      <c r="S57" s="194"/>
      <c r="T57" s="195"/>
      <c r="U57" s="195"/>
      <c r="V57" s="195"/>
      <c r="W57" s="195"/>
      <c r="X57" s="195"/>
      <c r="Y57" s="195"/>
      <c r="Z57" s="195"/>
      <c r="AA57" s="195"/>
    </row>
    <row r="58" ht="20.25" customHeight="1">
      <c r="A58" s="192" t="s">
        <v>121</v>
      </c>
      <c r="B58" s="118">
        <v>46078.0</v>
      </c>
      <c r="C58" s="119"/>
      <c r="D58" s="119" t="s">
        <v>239</v>
      </c>
      <c r="E58" s="119" t="s">
        <v>126</v>
      </c>
      <c r="F58" s="119" t="s">
        <v>90</v>
      </c>
      <c r="G58" s="119" t="s">
        <v>50</v>
      </c>
      <c r="H58" s="119"/>
      <c r="I58" s="117">
        <v>1900.0</v>
      </c>
      <c r="J58" s="118"/>
      <c r="K58" s="46"/>
      <c r="L58" s="46"/>
      <c r="M58" s="46"/>
      <c r="N58" s="117"/>
      <c r="O58" s="119"/>
      <c r="P58" s="119" t="s">
        <v>158</v>
      </c>
      <c r="Q58" s="120"/>
      <c r="R58" s="193"/>
      <c r="S58" s="194"/>
      <c r="T58" s="195"/>
      <c r="U58" s="195"/>
      <c r="V58" s="195"/>
      <c r="W58" s="195"/>
      <c r="X58" s="195"/>
      <c r="Y58" s="195"/>
      <c r="Z58" s="195"/>
      <c r="AA58" s="195"/>
    </row>
    <row r="59" ht="20.25" customHeight="1">
      <c r="A59" s="192" t="s">
        <v>121</v>
      </c>
      <c r="B59" s="118">
        <v>46079.0</v>
      </c>
      <c r="C59" s="119"/>
      <c r="D59" s="119" t="s">
        <v>240</v>
      </c>
      <c r="E59" s="119" t="s">
        <v>135</v>
      </c>
      <c r="F59" s="119" t="s">
        <v>90</v>
      </c>
      <c r="G59" s="119" t="s">
        <v>58</v>
      </c>
      <c r="H59" s="119"/>
      <c r="I59" s="117">
        <v>140.0</v>
      </c>
      <c r="J59" s="118"/>
      <c r="K59" s="46"/>
      <c r="L59" s="46"/>
      <c r="M59" s="46"/>
      <c r="N59" s="117"/>
      <c r="O59" s="119"/>
      <c r="P59" s="119" t="s">
        <v>119</v>
      </c>
      <c r="Q59" s="120"/>
      <c r="R59" s="193"/>
      <c r="S59" s="194"/>
      <c r="T59" s="195"/>
      <c r="U59" s="195"/>
      <c r="V59" s="195"/>
      <c r="W59" s="195"/>
      <c r="X59" s="195"/>
      <c r="Y59" s="195"/>
      <c r="Z59" s="195"/>
      <c r="AA59" s="195"/>
    </row>
    <row r="60" ht="20.25" customHeight="1">
      <c r="A60" s="192" t="s">
        <v>121</v>
      </c>
      <c r="B60" s="118">
        <v>46079.0</v>
      </c>
      <c r="C60" s="119"/>
      <c r="D60" s="119" t="s">
        <v>241</v>
      </c>
      <c r="E60" s="119" t="s">
        <v>128</v>
      </c>
      <c r="F60" s="119" t="s">
        <v>90</v>
      </c>
      <c r="G60" s="119" t="s">
        <v>58</v>
      </c>
      <c r="H60" s="119"/>
      <c r="I60" s="117">
        <v>11900.0</v>
      </c>
      <c r="J60" s="118"/>
      <c r="K60" s="46"/>
      <c r="L60" s="46"/>
      <c r="M60" s="46"/>
      <c r="N60" s="117"/>
      <c r="O60" s="119"/>
      <c r="P60" s="119" t="s">
        <v>101</v>
      </c>
      <c r="Q60" s="120"/>
      <c r="R60" s="193"/>
      <c r="S60" s="194"/>
      <c r="T60" s="195"/>
      <c r="U60" s="195"/>
      <c r="V60" s="195"/>
      <c r="W60" s="195"/>
      <c r="X60" s="195"/>
      <c r="Y60" s="195"/>
      <c r="Z60" s="195"/>
      <c r="AA60" s="195"/>
    </row>
    <row r="61" ht="20.25" customHeight="1">
      <c r="A61" s="192" t="s">
        <v>108</v>
      </c>
      <c r="B61" s="118">
        <v>46079.0</v>
      </c>
      <c r="C61" s="119"/>
      <c r="D61" s="119" t="s">
        <v>242</v>
      </c>
      <c r="E61" s="119" t="s">
        <v>113</v>
      </c>
      <c r="F61" s="119" t="s">
        <v>90</v>
      </c>
      <c r="G61" s="119" t="s">
        <v>58</v>
      </c>
      <c r="H61" s="119"/>
      <c r="I61" s="117">
        <v>150.0</v>
      </c>
      <c r="J61" s="118"/>
      <c r="K61" s="46"/>
      <c r="L61" s="46"/>
      <c r="M61" s="46"/>
      <c r="N61" s="117"/>
      <c r="O61" s="119"/>
      <c r="P61" s="119"/>
      <c r="Q61" s="120"/>
      <c r="R61" s="193" t="s">
        <v>243</v>
      </c>
      <c r="S61" s="194"/>
      <c r="T61" s="195"/>
      <c r="U61" s="195"/>
      <c r="V61" s="195"/>
      <c r="W61" s="195"/>
      <c r="X61" s="195"/>
      <c r="Y61" s="195"/>
      <c r="Z61" s="195"/>
      <c r="AA61" s="195"/>
    </row>
    <row r="62" ht="20.25" customHeight="1">
      <c r="A62" s="19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93"/>
      <c r="S62" s="194"/>
      <c r="T62" s="195"/>
      <c r="U62" s="195"/>
      <c r="V62" s="195"/>
      <c r="W62" s="195"/>
      <c r="X62" s="195"/>
      <c r="Y62" s="195"/>
      <c r="Z62" s="195"/>
      <c r="AA62" s="195"/>
    </row>
    <row r="63" ht="20.25" customHeight="1">
      <c r="A63" s="19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93"/>
      <c r="S63" s="194"/>
      <c r="T63" s="195"/>
      <c r="U63" s="195"/>
      <c r="V63" s="195"/>
      <c r="W63" s="195"/>
      <c r="X63" s="195"/>
      <c r="Y63" s="195"/>
      <c r="Z63" s="195"/>
      <c r="AA63" s="195"/>
    </row>
    <row r="64" ht="20.25" customHeight="1">
      <c r="A64" s="19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93"/>
      <c r="S64" s="194"/>
      <c r="T64" s="195"/>
      <c r="U64" s="195"/>
      <c r="V64" s="195"/>
      <c r="W64" s="195"/>
      <c r="X64" s="195"/>
      <c r="Y64" s="195"/>
      <c r="Z64" s="195"/>
      <c r="AA64" s="195"/>
    </row>
    <row r="65" ht="20.25" customHeight="1">
      <c r="A65" s="19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93"/>
      <c r="S65" s="194"/>
      <c r="T65" s="195"/>
      <c r="U65" s="195"/>
      <c r="V65" s="195"/>
      <c r="W65" s="195"/>
      <c r="X65" s="195"/>
      <c r="Y65" s="195"/>
      <c r="Z65" s="195"/>
      <c r="AA65" s="195"/>
    </row>
    <row r="66" ht="20.25" customHeight="1">
      <c r="A66" s="19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93"/>
      <c r="S66" s="194"/>
      <c r="T66" s="195"/>
      <c r="U66" s="195"/>
      <c r="V66" s="195"/>
      <c r="W66" s="195"/>
      <c r="X66" s="195"/>
      <c r="Y66" s="195"/>
      <c r="Z66" s="195"/>
      <c r="AA66" s="195"/>
    </row>
    <row r="67" ht="20.25" customHeight="1">
      <c r="A67" s="19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93"/>
      <c r="S67" s="194"/>
      <c r="T67" s="195"/>
      <c r="U67" s="195"/>
      <c r="V67" s="195"/>
      <c r="W67" s="195"/>
      <c r="X67" s="195"/>
      <c r="Y67" s="195"/>
      <c r="Z67" s="195"/>
      <c r="AA67" s="195"/>
    </row>
    <row r="68" ht="20.25" customHeight="1">
      <c r="A68" s="19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93"/>
      <c r="S68" s="194"/>
      <c r="T68" s="195"/>
      <c r="U68" s="195"/>
      <c r="V68" s="195"/>
      <c r="W68" s="195"/>
      <c r="X68" s="195"/>
      <c r="Y68" s="195"/>
      <c r="Z68" s="195"/>
      <c r="AA68" s="195"/>
    </row>
    <row r="69" ht="20.25" customHeight="1">
      <c r="A69" s="19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93"/>
      <c r="S69" s="194"/>
      <c r="T69" s="195"/>
      <c r="U69" s="195"/>
      <c r="V69" s="195"/>
      <c r="W69" s="195"/>
      <c r="X69" s="195"/>
      <c r="Y69" s="195"/>
      <c r="Z69" s="195"/>
      <c r="AA69" s="195"/>
    </row>
    <row r="70" ht="20.25" customHeight="1">
      <c r="A70" s="19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93"/>
      <c r="S70" s="194"/>
      <c r="T70" s="195"/>
      <c r="U70" s="195"/>
      <c r="V70" s="195"/>
      <c r="W70" s="195"/>
      <c r="X70" s="195"/>
      <c r="Y70" s="195"/>
      <c r="Z70" s="195"/>
      <c r="AA70" s="195"/>
    </row>
    <row r="71" ht="20.25" customHeight="1">
      <c r="A71" s="19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93"/>
      <c r="S71" s="194"/>
      <c r="T71" s="195"/>
      <c r="U71" s="195"/>
      <c r="V71" s="195"/>
      <c r="W71" s="195"/>
      <c r="X71" s="195"/>
      <c r="Y71" s="195"/>
      <c r="Z71" s="195"/>
      <c r="AA71" s="195"/>
    </row>
    <row r="72" ht="20.25" customHeight="1">
      <c r="A72" s="19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93"/>
      <c r="S72" s="194"/>
      <c r="T72" s="195"/>
      <c r="U72" s="195"/>
      <c r="V72" s="195"/>
      <c r="W72" s="195"/>
      <c r="X72" s="195"/>
      <c r="Y72" s="195"/>
      <c r="Z72" s="195"/>
      <c r="AA72" s="195"/>
    </row>
    <row r="73" ht="20.25" customHeight="1">
      <c r="A73" s="19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93"/>
      <c r="S73" s="194"/>
      <c r="T73" s="195"/>
      <c r="U73" s="195"/>
      <c r="V73" s="195"/>
      <c r="W73" s="195"/>
      <c r="X73" s="195"/>
      <c r="Y73" s="195"/>
      <c r="Z73" s="195"/>
      <c r="AA73" s="195"/>
    </row>
    <row r="74" ht="20.25" customHeight="1">
      <c r="A74" s="19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93"/>
      <c r="S74" s="194"/>
      <c r="T74" s="195"/>
      <c r="U74" s="195"/>
      <c r="V74" s="195"/>
      <c r="W74" s="195"/>
      <c r="X74" s="195"/>
      <c r="Y74" s="195"/>
      <c r="Z74" s="195"/>
      <c r="AA74" s="195"/>
    </row>
    <row r="75" ht="20.25" customHeight="1">
      <c r="A75" s="19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93"/>
      <c r="S75" s="194"/>
      <c r="T75" s="195"/>
      <c r="U75" s="195"/>
      <c r="V75" s="195"/>
      <c r="W75" s="195"/>
      <c r="X75" s="195"/>
      <c r="Y75" s="195"/>
      <c r="Z75" s="195"/>
      <c r="AA75" s="195"/>
    </row>
    <row r="76" ht="20.25" customHeight="1">
      <c r="A76" s="19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93"/>
      <c r="S76" s="194"/>
      <c r="T76" s="195"/>
      <c r="U76" s="195"/>
      <c r="V76" s="195"/>
      <c r="W76" s="195"/>
      <c r="X76" s="195"/>
      <c r="Y76" s="195"/>
      <c r="Z76" s="195"/>
      <c r="AA76" s="195"/>
    </row>
    <row r="77" ht="20.25" customHeight="1">
      <c r="A77" s="19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93"/>
      <c r="S77" s="194"/>
      <c r="T77" s="195"/>
      <c r="U77" s="195"/>
      <c r="V77" s="195"/>
      <c r="W77" s="195"/>
      <c r="X77" s="195"/>
      <c r="Y77" s="195"/>
      <c r="Z77" s="195"/>
      <c r="AA77" s="195"/>
    </row>
    <row r="78" ht="20.25" customHeight="1">
      <c r="A78" s="19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93"/>
      <c r="S78" s="194"/>
      <c r="T78" s="195"/>
      <c r="U78" s="195"/>
      <c r="V78" s="195"/>
      <c r="W78" s="195"/>
      <c r="X78" s="195"/>
      <c r="Y78" s="195"/>
      <c r="Z78" s="195"/>
      <c r="AA78" s="195"/>
    </row>
    <row r="79" ht="20.25" customHeight="1">
      <c r="A79" s="19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93"/>
      <c r="S79" s="194"/>
      <c r="T79" s="195"/>
      <c r="U79" s="195"/>
      <c r="V79" s="195"/>
      <c r="W79" s="195"/>
      <c r="X79" s="195"/>
      <c r="Y79" s="195"/>
      <c r="Z79" s="195"/>
      <c r="AA79" s="195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</sheetData>
  <mergeCells count="81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79 E11:E79 G11:G79">
    <cfRule type="expression" dxfId="10" priority="1">
      <formula>$A11="NESSUNA VENDITA"</formula>
    </cfRule>
  </conditionalFormatting>
  <conditionalFormatting sqref="A11:AA79">
    <cfRule type="expression" dxfId="8" priority="2">
      <formula>$A11="ATTESA DOCUMENTAZIONE"</formula>
    </cfRule>
  </conditionalFormatting>
  <conditionalFormatting sqref="A11:AA79">
    <cfRule type="expression" dxfId="9" priority="3">
      <formula>$A11="ATTESA OK ANESTESISTI"</formula>
    </cfRule>
  </conditionalFormatting>
  <conditionalFormatting sqref="A11:AA79">
    <cfRule type="expression" dxfId="11" priority="4">
      <formula>$A11="RICHIAMERA' / RICHIAMARE"</formula>
    </cfRule>
  </conditionalFormatting>
  <conditionalFormatting sqref="A11:AA79">
    <cfRule type="expression" dxfId="18" priority="5">
      <formula>$A11="INZIA IL TRATTAMENTO-VENDITA"</formula>
    </cfRule>
  </conditionalFormatting>
  <conditionalFormatting sqref="A11:AA79">
    <cfRule type="expression" dxfId="8" priority="6">
      <formula>$A11="APPUNTAMENTO PER INZIARE TRATTAMENTO=PAGAMENTO/DOCUMENTAZIONE"</formula>
    </cfRule>
  </conditionalFormatting>
  <conditionalFormatting sqref="A11:AA79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79">
    <cfRule type="expression" dxfId="14" priority="9">
      <formula>$A11="PAZIENTE SANO"</formula>
    </cfRule>
  </conditionalFormatting>
  <conditionalFormatting sqref="A11:AA79">
    <cfRule type="expression" dxfId="9" priority="10">
      <formula>$A11="IN ATTESA OK ANESTESISTI MALGRATE"</formula>
    </cfRule>
  </conditionalFormatting>
  <conditionalFormatting sqref="A11:AA79">
    <cfRule type="expression" dxfId="15" priority="11">
      <formula>$A11="NON SI PRESENTA ALL'APPUNTAMENTO"</formula>
    </cfRule>
  </conditionalFormatting>
  <conditionalFormatting sqref="A11:AA79">
    <cfRule type="expression" dxfId="16" priority="12">
      <formula>$A11="CONSULTO COMMERCIALE/CLINICO"</formula>
    </cfRule>
  </conditionalFormatting>
  <conditionalFormatting sqref="A1">
    <cfRule type="notContainsBlanks" dxfId="17" priority="13">
      <formula>LEN(TRIM(A1))&gt;0</formula>
    </cfRule>
  </conditionalFormatting>
  <dataValidations>
    <dataValidation type="list" allowBlank="1" showErrorMessage="1" sqref="C11:C79">
      <formula1>'Elenco Dip Sedi'!$D$5:$D$32</formula1>
    </dataValidation>
    <dataValidation type="list" allowBlank="1" showErrorMessage="1" sqref="O11:O79">
      <formula1>"x PRESTAZIONE,ACC + DILAZIONE,DILAZIONATO, ELYGHT,UNICO,PAGODIL"</formula1>
    </dataValidation>
    <dataValidation type="list" allowBlank="1" showErrorMessage="1" sqref="G11:G79">
      <formula1>'Elenco Dip Sedi'!$C$5:$C$32</formula1>
    </dataValidation>
    <dataValidation type="list" allowBlank="1" showErrorMessage="1" sqref="P11:P79">
      <formula1>'Elenco Dip Sedi'!$K$5:$K$32</formula1>
    </dataValidation>
    <dataValidation type="list" allowBlank="1" showErrorMessage="1" sqref="H11:H79">
      <formula1>"ANNIBALDI,DEL PRETE,EMANUELE,FRACANZANI,FRASCA,MALTESE,PLINI,SALERNO,VENNETTELLI,VESPASIANO"</formula1>
    </dataValidation>
    <dataValidation type="list" allowBlank="1" showErrorMessage="1" sqref="A11:A79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E11:E79">
      <formula1>"CUP,CUP SOLIDALE,DI PASSAGGIO ,FAMIGLIA ,PASSAPAROLA,SOCIAL,INTERNET,GOOGLE,VICINATO,ICOT,DIPENDENTE,TOTEM,HUB SPOKE,PVT AMOROSO"</formula1>
    </dataValidation>
    <dataValidation type="list" allowBlank="1" showErrorMessage="1" sqref="F11:F79">
      <formula1>"M,F"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28.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57"/>
      <c r="D1" s="156" t="s">
        <v>66</v>
      </c>
      <c r="E1" s="157" t="s">
        <v>67</v>
      </c>
      <c r="F1" s="53"/>
      <c r="G1" s="158" t="s">
        <v>103</v>
      </c>
      <c r="H1" s="159"/>
      <c r="I1" s="55"/>
      <c r="J1" s="56"/>
      <c r="L1" s="56"/>
      <c r="M1" s="57"/>
      <c r="N1" s="58"/>
      <c r="O1" s="59"/>
      <c r="P1" s="60"/>
      <c r="Q1" s="61"/>
    </row>
    <row r="2" ht="20.25" customHeight="1">
      <c r="D2" s="160"/>
      <c r="E2" s="160"/>
      <c r="F2" s="53"/>
      <c r="G2" s="161"/>
      <c r="H2" s="162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63"/>
      <c r="E3" s="164"/>
      <c r="F3" s="53"/>
      <c r="G3" s="57"/>
      <c r="H3" s="57"/>
      <c r="I3" s="70"/>
      <c r="J3" s="165"/>
      <c r="K3" s="165"/>
      <c r="L3" s="165"/>
      <c r="M3" s="166"/>
      <c r="N3" s="167"/>
      <c r="O3" s="72"/>
      <c r="P3" s="69"/>
      <c r="Q3" s="61"/>
    </row>
    <row r="4" ht="21.0" customHeight="1">
      <c r="D4" s="168"/>
      <c r="E4" s="169"/>
      <c r="F4" s="84"/>
      <c r="G4" s="84"/>
      <c r="H4" s="84"/>
      <c r="I4" s="170"/>
      <c r="J4" s="171"/>
      <c r="K4" s="171"/>
      <c r="L4" s="171"/>
      <c r="M4" s="78"/>
      <c r="N4" s="89"/>
      <c r="O4" s="172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73"/>
      <c r="E5" s="174"/>
      <c r="F5" s="175"/>
      <c r="G5" s="176"/>
      <c r="H5" s="177"/>
      <c r="I5" s="178"/>
      <c r="J5" s="179" t="s">
        <v>104</v>
      </c>
      <c r="L5" s="180"/>
      <c r="M5" s="181"/>
      <c r="N5" s="182"/>
      <c r="O5" s="183"/>
      <c r="P5" s="184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99"/>
      <c r="E6" s="77"/>
      <c r="F6" s="76"/>
      <c r="G6" s="77"/>
      <c r="H6" s="78"/>
      <c r="I6" s="80" t="s">
        <v>105</v>
      </c>
      <c r="L6" s="186">
        <f>SUMIF(A11:A140,"INZIA IL TRATTAMENTO-VENDITA", I11:I140)</f>
        <v>54103</v>
      </c>
      <c r="M6" s="187"/>
      <c r="O6" s="82"/>
      <c r="P6" s="18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89" t="s">
        <v>106</v>
      </c>
      <c r="K7" s="78"/>
      <c r="L7" s="190">
        <f>L6+SUMIFS('OPPORTUNITA DI VENDITA'!J198:J513,'OPPORTUNITA DI VENDITA'!C198:C513, "&gt;=01/03/2026", 'OPPORTUNITA DI VENDITA'!C198:C513, "&lt;=31/03/2026",'OPPORTUNITA DI VENDITA'!B198:B513,"ESEGUITO")</f>
        <v>54103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105" t="s">
        <v>107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91"/>
      <c r="C10" s="191"/>
      <c r="D10" s="191"/>
      <c r="E10" s="191"/>
      <c r="F10" s="114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0.25" customHeight="1">
      <c r="A11" s="192" t="s">
        <v>108</v>
      </c>
      <c r="B11" s="118">
        <v>46084.0</v>
      </c>
      <c r="C11" s="119"/>
      <c r="D11" s="119" t="s">
        <v>244</v>
      </c>
      <c r="E11" s="119" t="s">
        <v>135</v>
      </c>
      <c r="F11" s="119" t="s">
        <v>90</v>
      </c>
      <c r="G11" s="119" t="s">
        <v>50</v>
      </c>
      <c r="H11" s="119"/>
      <c r="I11" s="117">
        <v>7360.0</v>
      </c>
      <c r="J11" s="118"/>
      <c r="K11" s="46"/>
      <c r="L11" s="46"/>
      <c r="M11" s="46"/>
      <c r="N11" s="117"/>
      <c r="O11" s="119"/>
      <c r="P11" s="119"/>
      <c r="Q11" s="120"/>
      <c r="R11" s="215" t="s">
        <v>245</v>
      </c>
      <c r="S11" s="194"/>
      <c r="T11" s="195"/>
      <c r="U11" s="195"/>
      <c r="V11" s="195"/>
      <c r="W11" s="195"/>
      <c r="X11" s="195"/>
      <c r="Y11" s="195"/>
      <c r="Z11" s="195"/>
      <c r="AA11" s="195"/>
    </row>
    <row r="12" ht="20.25" customHeight="1">
      <c r="A12" s="192" t="s">
        <v>121</v>
      </c>
      <c r="B12" s="118">
        <v>46085.0</v>
      </c>
      <c r="C12" s="119"/>
      <c r="D12" s="119" t="s">
        <v>246</v>
      </c>
      <c r="E12" s="119" t="s">
        <v>123</v>
      </c>
      <c r="F12" s="119" t="s">
        <v>90</v>
      </c>
      <c r="G12" s="119" t="s">
        <v>50</v>
      </c>
      <c r="H12" s="119"/>
      <c r="I12" s="117">
        <v>1230.0</v>
      </c>
      <c r="J12" s="118"/>
      <c r="K12" s="46"/>
      <c r="L12" s="46"/>
      <c r="M12" s="46"/>
      <c r="N12" s="117"/>
      <c r="O12" s="119"/>
      <c r="P12" s="119" t="s">
        <v>158</v>
      </c>
      <c r="Q12" s="120"/>
      <c r="R12" s="193"/>
      <c r="S12" s="194"/>
      <c r="T12" s="195"/>
      <c r="U12" s="195"/>
      <c r="V12" s="195"/>
      <c r="W12" s="195"/>
      <c r="X12" s="195"/>
      <c r="Y12" s="195"/>
      <c r="Z12" s="195"/>
      <c r="AA12" s="195"/>
    </row>
    <row r="13" ht="20.25" customHeight="1">
      <c r="A13" s="192" t="s">
        <v>108</v>
      </c>
      <c r="B13" s="118">
        <v>46086.0</v>
      </c>
      <c r="C13" s="119"/>
      <c r="D13" s="119" t="s">
        <v>247</v>
      </c>
      <c r="E13" s="119" t="s">
        <v>227</v>
      </c>
      <c r="F13" s="119" t="s">
        <v>96</v>
      </c>
      <c r="G13" s="119" t="s">
        <v>57</v>
      </c>
      <c r="H13" s="119"/>
      <c r="I13" s="117">
        <v>150.0</v>
      </c>
      <c r="J13" s="118"/>
      <c r="K13" s="46"/>
      <c r="L13" s="46"/>
      <c r="M13" s="46"/>
      <c r="N13" s="117"/>
      <c r="O13" s="119"/>
      <c r="P13" s="119"/>
      <c r="Q13" s="120"/>
      <c r="R13" s="216" t="s">
        <v>248</v>
      </c>
      <c r="S13" s="194"/>
      <c r="T13" s="195"/>
      <c r="U13" s="195"/>
      <c r="V13" s="195"/>
      <c r="W13" s="195"/>
      <c r="X13" s="195"/>
      <c r="Y13" s="195"/>
      <c r="Z13" s="195"/>
      <c r="AA13" s="195"/>
    </row>
    <row r="14" ht="20.25" customHeight="1">
      <c r="A14" s="192" t="s">
        <v>121</v>
      </c>
      <c r="B14" s="118">
        <v>46086.0</v>
      </c>
      <c r="C14" s="119"/>
      <c r="D14" s="119" t="s">
        <v>249</v>
      </c>
      <c r="E14" s="119" t="s">
        <v>128</v>
      </c>
      <c r="F14" s="119" t="s">
        <v>90</v>
      </c>
      <c r="G14" s="119" t="s">
        <v>55</v>
      </c>
      <c r="H14" s="119"/>
      <c r="I14" s="117">
        <v>2400.0</v>
      </c>
      <c r="J14" s="118"/>
      <c r="K14" s="46"/>
      <c r="L14" s="46"/>
      <c r="M14" s="46"/>
      <c r="N14" s="117"/>
      <c r="O14" s="119"/>
      <c r="P14" s="119" t="s">
        <v>119</v>
      </c>
      <c r="Q14" s="120"/>
      <c r="R14" s="193"/>
      <c r="S14" s="194"/>
      <c r="T14" s="195"/>
      <c r="U14" s="195"/>
      <c r="V14" s="195"/>
      <c r="W14" s="195"/>
      <c r="X14" s="195"/>
      <c r="Y14" s="195"/>
      <c r="Z14" s="195"/>
      <c r="AA14" s="195"/>
    </row>
    <row r="15" ht="20.25" customHeight="1">
      <c r="A15" s="192" t="s">
        <v>121</v>
      </c>
      <c r="B15" s="118">
        <v>46086.0</v>
      </c>
      <c r="C15" s="119"/>
      <c r="D15" s="119" t="s">
        <v>250</v>
      </c>
      <c r="E15" s="119" t="s">
        <v>110</v>
      </c>
      <c r="F15" s="119" t="s">
        <v>90</v>
      </c>
      <c r="G15" s="119" t="s">
        <v>57</v>
      </c>
      <c r="H15" s="119"/>
      <c r="I15" s="117">
        <v>1520.0</v>
      </c>
      <c r="J15" s="118"/>
      <c r="K15" s="46"/>
      <c r="L15" s="46"/>
      <c r="M15" s="46"/>
      <c r="N15" s="117"/>
      <c r="O15" s="119"/>
      <c r="P15" s="119" t="s">
        <v>158</v>
      </c>
      <c r="Q15" s="120"/>
      <c r="R15" s="193"/>
      <c r="S15" s="194"/>
      <c r="T15" s="195"/>
      <c r="U15" s="195"/>
      <c r="V15" s="195"/>
      <c r="W15" s="195"/>
      <c r="X15" s="195"/>
      <c r="Y15" s="195"/>
      <c r="Z15" s="195"/>
      <c r="AA15" s="195"/>
    </row>
    <row r="16" ht="20.25" customHeight="1">
      <c r="A16" s="192" t="s">
        <v>121</v>
      </c>
      <c r="B16" s="118">
        <v>46090.0</v>
      </c>
      <c r="C16" s="119"/>
      <c r="D16" s="119" t="s">
        <v>251</v>
      </c>
      <c r="E16" s="119" t="s">
        <v>128</v>
      </c>
      <c r="F16" s="119" t="s">
        <v>90</v>
      </c>
      <c r="G16" s="119" t="s">
        <v>49</v>
      </c>
      <c r="H16" s="119"/>
      <c r="I16" s="117">
        <v>1478.0</v>
      </c>
      <c r="J16" s="118"/>
      <c r="K16" s="46"/>
      <c r="L16" s="46"/>
      <c r="M16" s="46"/>
      <c r="N16" s="117"/>
      <c r="O16" s="119"/>
      <c r="P16" s="119" t="s">
        <v>195</v>
      </c>
      <c r="Q16" s="120"/>
      <c r="R16" s="193"/>
      <c r="S16" s="194"/>
      <c r="T16" s="195"/>
      <c r="U16" s="195"/>
      <c r="V16" s="195"/>
      <c r="W16" s="195"/>
      <c r="X16" s="195"/>
      <c r="Y16" s="195"/>
      <c r="Z16" s="195"/>
      <c r="AA16" s="195"/>
    </row>
    <row r="17" ht="20.25" customHeight="1">
      <c r="A17" s="192" t="s">
        <v>108</v>
      </c>
      <c r="B17" s="118">
        <v>46091.0</v>
      </c>
      <c r="C17" s="119"/>
      <c r="D17" s="119" t="s">
        <v>252</v>
      </c>
      <c r="E17" s="119" t="s">
        <v>123</v>
      </c>
      <c r="F17" s="119" t="s">
        <v>90</v>
      </c>
      <c r="G17" s="119" t="s">
        <v>50</v>
      </c>
      <c r="H17" s="119"/>
      <c r="I17" s="117">
        <v>2030.0</v>
      </c>
      <c r="J17" s="118"/>
      <c r="K17" s="46"/>
      <c r="L17" s="46"/>
      <c r="M17" s="46"/>
      <c r="N17" s="117"/>
      <c r="O17" s="119"/>
      <c r="P17" s="119"/>
      <c r="Q17" s="120"/>
      <c r="R17" s="217" t="s">
        <v>253</v>
      </c>
      <c r="S17" s="194"/>
      <c r="T17" s="195"/>
      <c r="U17" s="195"/>
      <c r="V17" s="195"/>
      <c r="W17" s="195"/>
      <c r="X17" s="195"/>
      <c r="Y17" s="195"/>
      <c r="Z17" s="195"/>
      <c r="AA17" s="195"/>
    </row>
    <row r="18" ht="20.25" customHeight="1">
      <c r="A18" s="192" t="s">
        <v>121</v>
      </c>
      <c r="B18" s="118">
        <v>46091.0</v>
      </c>
      <c r="C18" s="119"/>
      <c r="D18" s="119" t="s">
        <v>254</v>
      </c>
      <c r="E18" s="119" t="s">
        <v>123</v>
      </c>
      <c r="F18" s="119" t="s">
        <v>96</v>
      </c>
      <c r="G18" s="119" t="s">
        <v>50</v>
      </c>
      <c r="H18" s="119"/>
      <c r="I18" s="117">
        <v>230.0</v>
      </c>
      <c r="J18" s="118"/>
      <c r="K18" s="46"/>
      <c r="L18" s="46"/>
      <c r="M18" s="46"/>
      <c r="N18" s="117"/>
      <c r="O18" s="119"/>
      <c r="P18" s="119" t="s">
        <v>119</v>
      </c>
      <c r="Q18" s="120"/>
      <c r="R18" s="193"/>
      <c r="S18" s="194"/>
      <c r="T18" s="195"/>
      <c r="U18" s="195"/>
      <c r="V18" s="195"/>
      <c r="W18" s="195"/>
      <c r="X18" s="195"/>
      <c r="Y18" s="195"/>
      <c r="Z18" s="195"/>
      <c r="AA18" s="195"/>
    </row>
    <row r="19" ht="20.25" customHeight="1">
      <c r="A19" s="192" t="s">
        <v>121</v>
      </c>
      <c r="B19" s="118">
        <v>46091.0</v>
      </c>
      <c r="C19" s="119"/>
      <c r="D19" s="119" t="s">
        <v>255</v>
      </c>
      <c r="E19" s="119" t="s">
        <v>227</v>
      </c>
      <c r="F19" s="119" t="s">
        <v>90</v>
      </c>
      <c r="G19" s="119" t="s">
        <v>50</v>
      </c>
      <c r="H19" s="119"/>
      <c r="I19" s="117">
        <v>6500.0</v>
      </c>
      <c r="J19" s="118"/>
      <c r="K19" s="46"/>
      <c r="L19" s="46"/>
      <c r="M19" s="46"/>
      <c r="N19" s="117"/>
      <c r="O19" s="119"/>
      <c r="P19" s="119" t="s">
        <v>158</v>
      </c>
      <c r="Q19" s="120"/>
      <c r="R19" s="193"/>
      <c r="S19" s="194"/>
      <c r="T19" s="195"/>
      <c r="U19" s="195"/>
      <c r="V19" s="195"/>
      <c r="W19" s="195"/>
      <c r="X19" s="195"/>
      <c r="Y19" s="195"/>
      <c r="Z19" s="195"/>
      <c r="AA19" s="195"/>
    </row>
    <row r="20" ht="20.25" customHeight="1">
      <c r="A20" s="192" t="s">
        <v>121</v>
      </c>
      <c r="B20" s="118">
        <v>46091.0</v>
      </c>
      <c r="C20" s="119"/>
      <c r="D20" s="119" t="s">
        <v>256</v>
      </c>
      <c r="E20" s="119" t="s">
        <v>227</v>
      </c>
      <c r="F20" s="119" t="s">
        <v>90</v>
      </c>
      <c r="G20" s="119" t="s">
        <v>50</v>
      </c>
      <c r="H20" s="119"/>
      <c r="I20" s="117">
        <v>100.0</v>
      </c>
      <c r="J20" s="118"/>
      <c r="K20" s="46"/>
      <c r="L20" s="46"/>
      <c r="M20" s="46"/>
      <c r="N20" s="117"/>
      <c r="O20" s="119"/>
      <c r="P20" s="119" t="s">
        <v>119</v>
      </c>
      <c r="Q20" s="120"/>
      <c r="R20" s="193"/>
      <c r="S20" s="194"/>
      <c r="T20" s="195"/>
      <c r="U20" s="195"/>
      <c r="V20" s="195"/>
      <c r="W20" s="195"/>
      <c r="X20" s="195"/>
      <c r="Y20" s="195"/>
      <c r="Z20" s="195"/>
      <c r="AA20" s="195"/>
    </row>
    <row r="21" ht="20.25" customHeight="1">
      <c r="A21" s="192" t="s">
        <v>121</v>
      </c>
      <c r="B21" s="118">
        <v>46091.0</v>
      </c>
      <c r="C21" s="119"/>
      <c r="D21" s="119" t="s">
        <v>257</v>
      </c>
      <c r="E21" s="119" t="s">
        <v>123</v>
      </c>
      <c r="F21" s="119" t="s">
        <v>90</v>
      </c>
      <c r="G21" s="119" t="s">
        <v>50</v>
      </c>
      <c r="H21" s="119"/>
      <c r="I21" s="117">
        <v>280.0</v>
      </c>
      <c r="J21" s="118"/>
      <c r="K21" s="46"/>
      <c r="L21" s="46"/>
      <c r="M21" s="46"/>
      <c r="N21" s="117"/>
      <c r="O21" s="119"/>
      <c r="P21" s="119" t="s">
        <v>119</v>
      </c>
      <c r="Q21" s="120"/>
      <c r="R21" s="193"/>
      <c r="S21" s="194"/>
      <c r="T21" s="195"/>
      <c r="U21" s="195"/>
      <c r="V21" s="195"/>
      <c r="W21" s="195"/>
      <c r="X21" s="195"/>
      <c r="Y21" s="195"/>
      <c r="Z21" s="195"/>
      <c r="AA21" s="195"/>
    </row>
    <row r="22" ht="20.25" customHeight="1">
      <c r="A22" s="192" t="s">
        <v>108</v>
      </c>
      <c r="B22" s="118">
        <v>46092.0</v>
      </c>
      <c r="C22" s="119"/>
      <c r="D22" s="119" t="s">
        <v>258</v>
      </c>
      <c r="E22" s="119" t="s">
        <v>113</v>
      </c>
      <c r="F22" s="119" t="s">
        <v>90</v>
      </c>
      <c r="G22" s="119" t="s">
        <v>155</v>
      </c>
      <c r="H22" s="119"/>
      <c r="I22" s="117">
        <v>975.0</v>
      </c>
      <c r="J22" s="118"/>
      <c r="K22" s="46"/>
      <c r="L22" s="46"/>
      <c r="M22" s="46"/>
      <c r="N22" s="117"/>
      <c r="O22" s="119"/>
      <c r="P22" s="119"/>
      <c r="Q22" s="120"/>
      <c r="R22" s="218" t="s">
        <v>259</v>
      </c>
      <c r="S22" s="194"/>
      <c r="T22" s="195"/>
      <c r="U22" s="195"/>
      <c r="V22" s="195"/>
      <c r="W22" s="195"/>
      <c r="X22" s="195"/>
      <c r="Y22" s="195"/>
      <c r="Z22" s="195"/>
      <c r="AA22" s="195"/>
    </row>
    <row r="23" ht="20.25" customHeight="1">
      <c r="A23" s="192" t="s">
        <v>124</v>
      </c>
      <c r="B23" s="118">
        <v>46092.0</v>
      </c>
      <c r="C23" s="119"/>
      <c r="D23" s="119" t="s">
        <v>260</v>
      </c>
      <c r="E23" s="119" t="s">
        <v>128</v>
      </c>
      <c r="F23" s="119" t="s">
        <v>90</v>
      </c>
      <c r="G23" s="119" t="s">
        <v>155</v>
      </c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93"/>
      <c r="S23" s="194"/>
      <c r="T23" s="195"/>
      <c r="U23" s="195"/>
      <c r="V23" s="195"/>
      <c r="W23" s="195"/>
      <c r="X23" s="195"/>
      <c r="Y23" s="195"/>
      <c r="Z23" s="195"/>
      <c r="AA23" s="195"/>
    </row>
    <row r="24" ht="20.25" customHeight="1">
      <c r="A24" s="192" t="s">
        <v>121</v>
      </c>
      <c r="B24" s="118">
        <v>46092.0</v>
      </c>
      <c r="C24" s="119"/>
      <c r="D24" s="119" t="s">
        <v>261</v>
      </c>
      <c r="E24" s="119" t="s">
        <v>128</v>
      </c>
      <c r="F24" s="119" t="s">
        <v>90</v>
      </c>
      <c r="G24" s="119" t="s">
        <v>49</v>
      </c>
      <c r="H24" s="119"/>
      <c r="I24" s="117">
        <v>453.0</v>
      </c>
      <c r="J24" s="118"/>
      <c r="K24" s="46"/>
      <c r="L24" s="46"/>
      <c r="M24" s="46"/>
      <c r="N24" s="117"/>
      <c r="O24" s="119"/>
      <c r="P24" s="119" t="s">
        <v>119</v>
      </c>
      <c r="Q24" s="120"/>
      <c r="R24" s="193"/>
      <c r="S24" s="194"/>
      <c r="T24" s="195"/>
      <c r="U24" s="195"/>
      <c r="V24" s="195"/>
      <c r="W24" s="195"/>
      <c r="X24" s="195"/>
      <c r="Y24" s="195"/>
      <c r="Z24" s="195"/>
      <c r="AA24" s="195"/>
    </row>
    <row r="25" ht="20.25" customHeight="1">
      <c r="A25" s="192" t="s">
        <v>121</v>
      </c>
      <c r="B25" s="118">
        <v>46093.0</v>
      </c>
      <c r="C25" s="119"/>
      <c r="D25" s="119" t="s">
        <v>262</v>
      </c>
      <c r="E25" s="119" t="s">
        <v>110</v>
      </c>
      <c r="F25" s="119" t="s">
        <v>96</v>
      </c>
      <c r="G25" s="119" t="s">
        <v>58</v>
      </c>
      <c r="H25" s="119"/>
      <c r="I25" s="117">
        <v>5100.0</v>
      </c>
      <c r="J25" s="118"/>
      <c r="K25" s="46"/>
      <c r="L25" s="46"/>
      <c r="M25" s="46"/>
      <c r="N25" s="117"/>
      <c r="O25" s="119"/>
      <c r="P25" s="119" t="s">
        <v>158</v>
      </c>
      <c r="Q25" s="120"/>
      <c r="R25" s="193"/>
      <c r="S25" s="194"/>
      <c r="T25" s="195"/>
      <c r="U25" s="195"/>
      <c r="V25" s="195"/>
      <c r="W25" s="195"/>
      <c r="X25" s="195"/>
      <c r="Y25" s="195"/>
      <c r="Z25" s="195"/>
      <c r="AA25" s="195"/>
    </row>
    <row r="26" ht="20.25" customHeight="1">
      <c r="A26" s="192" t="s">
        <v>121</v>
      </c>
      <c r="B26" s="118">
        <v>46093.0</v>
      </c>
      <c r="C26" s="119"/>
      <c r="D26" s="119" t="s">
        <v>263</v>
      </c>
      <c r="E26" s="119" t="s">
        <v>128</v>
      </c>
      <c r="F26" s="119" t="s">
        <v>96</v>
      </c>
      <c r="G26" s="119" t="s">
        <v>57</v>
      </c>
      <c r="H26" s="119"/>
      <c r="I26" s="117">
        <v>8730.0</v>
      </c>
      <c r="J26" s="118"/>
      <c r="K26" s="46"/>
      <c r="L26" s="46"/>
      <c r="M26" s="46"/>
      <c r="N26" s="117"/>
      <c r="O26" s="119"/>
      <c r="P26" s="119" t="s">
        <v>91</v>
      </c>
      <c r="Q26" s="120"/>
      <c r="R26" s="193"/>
      <c r="S26" s="194"/>
      <c r="T26" s="195"/>
      <c r="U26" s="195"/>
      <c r="V26" s="195"/>
      <c r="W26" s="195"/>
      <c r="X26" s="195"/>
      <c r="Y26" s="195"/>
      <c r="Z26" s="195"/>
      <c r="AA26" s="195"/>
    </row>
    <row r="27" ht="20.25" customHeight="1">
      <c r="A27" s="192" t="s">
        <v>121</v>
      </c>
      <c r="B27" s="118">
        <v>46094.0</v>
      </c>
      <c r="C27" s="119"/>
      <c r="D27" s="119" t="s">
        <v>264</v>
      </c>
      <c r="E27" s="119" t="s">
        <v>227</v>
      </c>
      <c r="F27" s="119" t="s">
        <v>96</v>
      </c>
      <c r="G27" s="119" t="s">
        <v>50</v>
      </c>
      <c r="H27" s="119"/>
      <c r="I27" s="117">
        <v>250.0</v>
      </c>
      <c r="J27" s="118"/>
      <c r="K27" s="46"/>
      <c r="L27" s="46"/>
      <c r="M27" s="46"/>
      <c r="N27" s="117"/>
      <c r="O27" s="119"/>
      <c r="P27" s="119" t="s">
        <v>119</v>
      </c>
      <c r="Q27" s="120"/>
      <c r="R27" s="193"/>
      <c r="S27" s="194"/>
      <c r="T27" s="195"/>
      <c r="U27" s="195"/>
      <c r="V27" s="195"/>
      <c r="W27" s="195"/>
      <c r="X27" s="195"/>
      <c r="Y27" s="195"/>
      <c r="Z27" s="195"/>
      <c r="AA27" s="195"/>
    </row>
    <row r="28" ht="20.25" customHeight="1">
      <c r="A28" s="192" t="s">
        <v>124</v>
      </c>
      <c r="B28" s="118">
        <v>46094.0</v>
      </c>
      <c r="C28" s="119"/>
      <c r="D28" s="119" t="s">
        <v>265</v>
      </c>
      <c r="E28" s="119" t="s">
        <v>113</v>
      </c>
      <c r="F28" s="119" t="s">
        <v>96</v>
      </c>
      <c r="G28" s="119" t="s">
        <v>50</v>
      </c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93" t="s">
        <v>266</v>
      </c>
      <c r="S28" s="194"/>
      <c r="T28" s="195"/>
      <c r="U28" s="195"/>
      <c r="V28" s="195"/>
      <c r="W28" s="195"/>
      <c r="X28" s="195"/>
      <c r="Y28" s="195"/>
      <c r="Z28" s="195"/>
      <c r="AA28" s="195"/>
    </row>
    <row r="29" ht="20.25" customHeight="1">
      <c r="A29" s="192" t="s">
        <v>121</v>
      </c>
      <c r="B29" s="118">
        <v>46094.0</v>
      </c>
      <c r="C29" s="119"/>
      <c r="D29" s="119" t="s">
        <v>267</v>
      </c>
      <c r="E29" s="119" t="s">
        <v>123</v>
      </c>
      <c r="F29" s="119" t="s">
        <v>96</v>
      </c>
      <c r="G29" s="119" t="s">
        <v>50</v>
      </c>
      <c r="H29" s="119"/>
      <c r="I29" s="117">
        <v>630.0</v>
      </c>
      <c r="J29" s="118"/>
      <c r="K29" s="46"/>
      <c r="L29" s="46"/>
      <c r="M29" s="46"/>
      <c r="N29" s="117"/>
      <c r="O29" s="119"/>
      <c r="P29" s="119" t="s">
        <v>97</v>
      </c>
      <c r="Q29" s="120"/>
      <c r="R29" s="193"/>
      <c r="S29" s="194"/>
      <c r="T29" s="195"/>
      <c r="U29" s="195"/>
      <c r="V29" s="195"/>
      <c r="W29" s="195"/>
      <c r="X29" s="195"/>
      <c r="Y29" s="195"/>
      <c r="Z29" s="195"/>
      <c r="AA29" s="195"/>
    </row>
    <row r="30" ht="20.25" customHeight="1">
      <c r="A30" s="192" t="s">
        <v>121</v>
      </c>
      <c r="B30" s="118">
        <v>46094.0</v>
      </c>
      <c r="C30" s="119"/>
      <c r="D30" s="119" t="s">
        <v>268</v>
      </c>
      <c r="E30" s="119" t="s">
        <v>123</v>
      </c>
      <c r="F30" s="119" t="s">
        <v>96</v>
      </c>
      <c r="G30" s="119" t="s">
        <v>50</v>
      </c>
      <c r="H30" s="119"/>
      <c r="I30" s="117">
        <v>1430.0</v>
      </c>
      <c r="J30" s="118"/>
      <c r="K30" s="46"/>
      <c r="L30" s="46"/>
      <c r="M30" s="46"/>
      <c r="N30" s="117"/>
      <c r="O30" s="119"/>
      <c r="P30" s="119" t="s">
        <v>97</v>
      </c>
      <c r="Q30" s="120"/>
      <c r="R30" s="193"/>
      <c r="S30" s="194"/>
      <c r="T30" s="195"/>
      <c r="U30" s="195"/>
      <c r="V30" s="195"/>
      <c r="W30" s="195"/>
      <c r="X30" s="195"/>
      <c r="Y30" s="195"/>
      <c r="Z30" s="195"/>
      <c r="AA30" s="195"/>
    </row>
    <row r="31" ht="20.25" customHeight="1">
      <c r="A31" s="192" t="s">
        <v>108</v>
      </c>
      <c r="B31" s="118">
        <v>46094.0</v>
      </c>
      <c r="C31" s="119"/>
      <c r="D31" s="119" t="s">
        <v>269</v>
      </c>
      <c r="E31" s="119" t="s">
        <v>110</v>
      </c>
      <c r="F31" s="119" t="s">
        <v>96</v>
      </c>
      <c r="G31" s="119" t="s">
        <v>50</v>
      </c>
      <c r="H31" s="119"/>
      <c r="I31" s="117">
        <v>3960.0</v>
      </c>
      <c r="J31" s="118"/>
      <c r="K31" s="46"/>
      <c r="L31" s="46"/>
      <c r="M31" s="46"/>
      <c r="N31" s="117"/>
      <c r="O31" s="119"/>
      <c r="P31" s="119"/>
      <c r="Q31" s="120"/>
      <c r="R31" s="219" t="s">
        <v>270</v>
      </c>
      <c r="S31" s="194"/>
      <c r="T31" s="195"/>
      <c r="U31" s="195"/>
      <c r="V31" s="195"/>
      <c r="W31" s="195"/>
      <c r="X31" s="195"/>
      <c r="Y31" s="195"/>
      <c r="Z31" s="195"/>
      <c r="AA31" s="195"/>
    </row>
    <row r="32" ht="20.25" customHeight="1">
      <c r="A32" s="192" t="s">
        <v>124</v>
      </c>
      <c r="B32" s="118">
        <v>46094.0</v>
      </c>
      <c r="C32" s="119"/>
      <c r="D32" s="119" t="s">
        <v>271</v>
      </c>
      <c r="E32" s="119" t="s">
        <v>110</v>
      </c>
      <c r="F32" s="119" t="s">
        <v>90</v>
      </c>
      <c r="G32" s="119" t="s">
        <v>50</v>
      </c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93"/>
      <c r="S32" s="194"/>
      <c r="T32" s="195"/>
      <c r="U32" s="195"/>
      <c r="V32" s="195"/>
      <c r="W32" s="195"/>
      <c r="X32" s="195"/>
      <c r="Y32" s="195"/>
      <c r="Z32" s="195"/>
      <c r="AA32" s="195"/>
    </row>
    <row r="33" ht="20.25" customHeight="1">
      <c r="A33" s="192" t="s">
        <v>108</v>
      </c>
      <c r="B33" s="118">
        <v>46097.0</v>
      </c>
      <c r="C33" s="119"/>
      <c r="D33" s="119" t="s">
        <v>272</v>
      </c>
      <c r="E33" s="119" t="s">
        <v>113</v>
      </c>
      <c r="F33" s="119" t="s">
        <v>90</v>
      </c>
      <c r="G33" s="119" t="s">
        <v>49</v>
      </c>
      <c r="H33" s="119"/>
      <c r="I33" s="117">
        <v>720.0</v>
      </c>
      <c r="J33" s="118"/>
      <c r="K33" s="46"/>
      <c r="L33" s="46"/>
      <c r="M33" s="46"/>
      <c r="N33" s="117"/>
      <c r="O33" s="119"/>
      <c r="P33" s="119"/>
      <c r="Q33" s="120"/>
      <c r="R33" s="219" t="s">
        <v>273</v>
      </c>
      <c r="S33" s="194"/>
      <c r="T33" s="195"/>
      <c r="U33" s="195"/>
      <c r="V33" s="195"/>
      <c r="W33" s="195"/>
      <c r="X33" s="195"/>
      <c r="Y33" s="195"/>
      <c r="Z33" s="195"/>
      <c r="AA33" s="195"/>
    </row>
    <row r="34" ht="20.25" customHeight="1">
      <c r="A34" s="192" t="s">
        <v>121</v>
      </c>
      <c r="B34" s="118">
        <v>46098.0</v>
      </c>
      <c r="C34" s="119"/>
      <c r="D34" s="119" t="s">
        <v>274</v>
      </c>
      <c r="E34" s="119" t="s">
        <v>123</v>
      </c>
      <c r="F34" s="119" t="s">
        <v>90</v>
      </c>
      <c r="G34" s="119" t="s">
        <v>50</v>
      </c>
      <c r="H34" s="119"/>
      <c r="I34" s="117">
        <v>830.0</v>
      </c>
      <c r="J34" s="118"/>
      <c r="K34" s="46"/>
      <c r="L34" s="46"/>
      <c r="M34" s="46"/>
      <c r="N34" s="117"/>
      <c r="O34" s="119"/>
      <c r="P34" s="119" t="s">
        <v>158</v>
      </c>
      <c r="Q34" s="120"/>
      <c r="R34" s="193"/>
      <c r="S34" s="194"/>
      <c r="T34" s="195"/>
      <c r="U34" s="195"/>
      <c r="V34" s="195"/>
      <c r="W34" s="195"/>
      <c r="X34" s="195"/>
      <c r="Y34" s="195"/>
      <c r="Z34" s="195"/>
      <c r="AA34" s="195"/>
    </row>
    <row r="35" ht="20.25" customHeight="1">
      <c r="A35" s="192" t="s">
        <v>121</v>
      </c>
      <c r="B35" s="118">
        <v>46098.0</v>
      </c>
      <c r="C35" s="119"/>
      <c r="D35" s="119" t="s">
        <v>275</v>
      </c>
      <c r="E35" s="119" t="s">
        <v>128</v>
      </c>
      <c r="F35" s="119" t="s">
        <v>96</v>
      </c>
      <c r="G35" s="119" t="s">
        <v>50</v>
      </c>
      <c r="H35" s="119"/>
      <c r="I35" s="117">
        <v>1700.0</v>
      </c>
      <c r="J35" s="118"/>
      <c r="K35" s="46"/>
      <c r="L35" s="46"/>
      <c r="M35" s="46"/>
      <c r="N35" s="117"/>
      <c r="O35" s="119"/>
      <c r="P35" s="119" t="s">
        <v>158</v>
      </c>
      <c r="Q35" s="120"/>
      <c r="R35" s="193"/>
      <c r="S35" s="194"/>
      <c r="T35" s="195"/>
      <c r="U35" s="195"/>
      <c r="V35" s="195"/>
      <c r="W35" s="195"/>
      <c r="X35" s="195"/>
      <c r="Y35" s="195"/>
      <c r="Z35" s="195"/>
      <c r="AA35" s="195"/>
    </row>
    <row r="36" ht="20.25" customHeight="1">
      <c r="A36" s="192" t="s">
        <v>108</v>
      </c>
      <c r="B36" s="118">
        <v>46098.0</v>
      </c>
      <c r="C36" s="119"/>
      <c r="D36" s="119" t="s">
        <v>276</v>
      </c>
      <c r="E36" s="119" t="s">
        <v>123</v>
      </c>
      <c r="F36" s="119" t="s">
        <v>90</v>
      </c>
      <c r="G36" s="119" t="s">
        <v>50</v>
      </c>
      <c r="H36" s="119"/>
      <c r="I36" s="117">
        <v>780.0</v>
      </c>
      <c r="J36" s="118"/>
      <c r="K36" s="46"/>
      <c r="L36" s="46"/>
      <c r="M36" s="46"/>
      <c r="N36" s="117"/>
      <c r="O36" s="119"/>
      <c r="P36" s="119"/>
      <c r="Q36" s="120"/>
      <c r="R36" s="217" t="s">
        <v>277</v>
      </c>
      <c r="S36" s="194"/>
      <c r="T36" s="195"/>
      <c r="U36" s="195"/>
      <c r="V36" s="195"/>
      <c r="W36" s="195"/>
      <c r="X36" s="195"/>
      <c r="Y36" s="195"/>
      <c r="Z36" s="195"/>
      <c r="AA36" s="195"/>
    </row>
    <row r="37" ht="20.25" customHeight="1">
      <c r="A37" s="192" t="s">
        <v>121</v>
      </c>
      <c r="B37" s="118">
        <v>46098.0</v>
      </c>
      <c r="C37" s="119"/>
      <c r="D37" s="119" t="s">
        <v>278</v>
      </c>
      <c r="E37" s="119" t="s">
        <v>123</v>
      </c>
      <c r="F37" s="119" t="s">
        <v>90</v>
      </c>
      <c r="G37" s="119" t="s">
        <v>50</v>
      </c>
      <c r="H37" s="119"/>
      <c r="I37" s="117">
        <v>206.0</v>
      </c>
      <c r="J37" s="118"/>
      <c r="K37" s="46"/>
      <c r="L37" s="46"/>
      <c r="M37" s="46"/>
      <c r="N37" s="117"/>
      <c r="O37" s="119"/>
      <c r="P37" s="119" t="s">
        <v>119</v>
      </c>
      <c r="Q37" s="120"/>
      <c r="R37" s="193"/>
      <c r="S37" s="194"/>
      <c r="T37" s="195"/>
      <c r="U37" s="195"/>
      <c r="V37" s="195"/>
      <c r="W37" s="195"/>
      <c r="X37" s="195"/>
      <c r="Y37" s="195"/>
      <c r="Z37" s="195"/>
      <c r="AA37" s="195"/>
    </row>
    <row r="38" ht="20.25" customHeight="1">
      <c r="A38" s="192" t="s">
        <v>121</v>
      </c>
      <c r="B38" s="118">
        <v>46099.0</v>
      </c>
      <c r="C38" s="119"/>
      <c r="D38" s="119" t="s">
        <v>279</v>
      </c>
      <c r="E38" s="119" t="s">
        <v>123</v>
      </c>
      <c r="F38" s="119" t="s">
        <v>90</v>
      </c>
      <c r="G38" s="119" t="s">
        <v>50</v>
      </c>
      <c r="H38" s="119"/>
      <c r="I38" s="117">
        <v>830.0</v>
      </c>
      <c r="J38" s="118"/>
      <c r="K38" s="46"/>
      <c r="L38" s="46"/>
      <c r="M38" s="46"/>
      <c r="N38" s="117"/>
      <c r="O38" s="119"/>
      <c r="P38" s="119" t="s">
        <v>119</v>
      </c>
      <c r="Q38" s="120"/>
      <c r="R38" s="193"/>
      <c r="S38" s="194"/>
      <c r="T38" s="195"/>
      <c r="U38" s="195"/>
      <c r="V38" s="195"/>
      <c r="W38" s="195"/>
      <c r="X38" s="195"/>
      <c r="Y38" s="195"/>
      <c r="Z38" s="195"/>
      <c r="AA38" s="195"/>
    </row>
    <row r="39" ht="20.25" customHeight="1">
      <c r="A39" s="192" t="s">
        <v>121</v>
      </c>
      <c r="B39" s="118">
        <v>46099.0</v>
      </c>
      <c r="C39" s="119"/>
      <c r="D39" s="119" t="s">
        <v>280</v>
      </c>
      <c r="E39" s="119" t="s">
        <v>135</v>
      </c>
      <c r="F39" s="119" t="s">
        <v>96</v>
      </c>
      <c r="G39" s="119" t="s">
        <v>49</v>
      </c>
      <c r="H39" s="119"/>
      <c r="I39" s="117">
        <v>224.0</v>
      </c>
      <c r="J39" s="118"/>
      <c r="K39" s="46"/>
      <c r="L39" s="46"/>
      <c r="M39" s="46"/>
      <c r="N39" s="117"/>
      <c r="O39" s="119"/>
      <c r="P39" s="119" t="s">
        <v>119</v>
      </c>
      <c r="Q39" s="120"/>
      <c r="R39" s="193"/>
      <c r="S39" s="194"/>
      <c r="T39" s="195"/>
      <c r="U39" s="195"/>
      <c r="V39" s="195"/>
      <c r="W39" s="195"/>
      <c r="X39" s="195"/>
      <c r="Y39" s="195"/>
      <c r="Z39" s="195"/>
      <c r="AA39" s="195"/>
    </row>
    <row r="40" ht="20.25" customHeight="1">
      <c r="A40" s="192" t="s">
        <v>108</v>
      </c>
      <c r="B40" s="118">
        <v>46100.0</v>
      </c>
      <c r="C40" s="119"/>
      <c r="D40" s="119" t="s">
        <v>281</v>
      </c>
      <c r="E40" s="119" t="s">
        <v>113</v>
      </c>
      <c r="F40" s="119" t="s">
        <v>96</v>
      </c>
      <c r="G40" s="119" t="s">
        <v>58</v>
      </c>
      <c r="H40" s="119"/>
      <c r="I40" s="117">
        <v>4355.0</v>
      </c>
      <c r="J40" s="118"/>
      <c r="K40" s="46"/>
      <c r="L40" s="46"/>
      <c r="M40" s="46"/>
      <c r="N40" s="117"/>
      <c r="O40" s="119"/>
      <c r="P40" s="119" t="s">
        <v>91</v>
      </c>
      <c r="Q40" s="120"/>
      <c r="R40" s="220" t="s">
        <v>282</v>
      </c>
      <c r="S40" s="194"/>
      <c r="T40" s="195"/>
      <c r="U40" s="195"/>
      <c r="V40" s="195"/>
      <c r="W40" s="195"/>
      <c r="X40" s="195"/>
      <c r="Y40" s="195"/>
      <c r="Z40" s="195"/>
      <c r="AA40" s="195"/>
    </row>
    <row r="41" ht="20.25" customHeight="1">
      <c r="A41" s="192" t="s">
        <v>108</v>
      </c>
      <c r="B41" s="118">
        <v>46100.0</v>
      </c>
      <c r="C41" s="119"/>
      <c r="D41" s="119" t="s">
        <v>283</v>
      </c>
      <c r="E41" s="119" t="s">
        <v>110</v>
      </c>
      <c r="F41" s="119" t="s">
        <v>90</v>
      </c>
      <c r="G41" s="119" t="s">
        <v>57</v>
      </c>
      <c r="H41" s="119"/>
      <c r="I41" s="117">
        <v>831.0</v>
      </c>
      <c r="J41" s="118"/>
      <c r="K41" s="46"/>
      <c r="L41" s="46"/>
      <c r="M41" s="46"/>
      <c r="N41" s="117"/>
      <c r="O41" s="119"/>
      <c r="P41" s="119"/>
      <c r="Q41" s="120"/>
      <c r="R41" s="193"/>
      <c r="S41" s="194"/>
      <c r="T41" s="195"/>
      <c r="U41" s="195"/>
      <c r="V41" s="195"/>
      <c r="W41" s="195"/>
      <c r="X41" s="195"/>
      <c r="Y41" s="195"/>
      <c r="Z41" s="195"/>
      <c r="AA41" s="195"/>
    </row>
    <row r="42" ht="20.25" customHeight="1">
      <c r="A42" s="192" t="s">
        <v>108</v>
      </c>
      <c r="B42" s="118">
        <v>46100.0</v>
      </c>
      <c r="C42" s="119"/>
      <c r="D42" s="119" t="s">
        <v>284</v>
      </c>
      <c r="E42" s="119" t="s">
        <v>110</v>
      </c>
      <c r="F42" s="119" t="s">
        <v>96</v>
      </c>
      <c r="G42" s="119" t="s">
        <v>57</v>
      </c>
      <c r="H42" s="119"/>
      <c r="I42" s="117">
        <v>4800.0</v>
      </c>
      <c r="J42" s="118"/>
      <c r="K42" s="46"/>
      <c r="L42" s="46"/>
      <c r="M42" s="46"/>
      <c r="N42" s="117"/>
      <c r="O42" s="119"/>
      <c r="P42" s="119"/>
      <c r="Q42" s="120"/>
      <c r="R42" s="221" t="s">
        <v>285</v>
      </c>
      <c r="S42" s="194"/>
      <c r="T42" s="195"/>
      <c r="U42" s="195"/>
      <c r="V42" s="195"/>
      <c r="W42" s="195"/>
      <c r="X42" s="195"/>
      <c r="Y42" s="195"/>
      <c r="Z42" s="195"/>
      <c r="AA42" s="195"/>
    </row>
    <row r="43" ht="20.25" customHeight="1">
      <c r="A43" s="192" t="s">
        <v>108</v>
      </c>
      <c r="B43" s="118">
        <v>46102.0</v>
      </c>
      <c r="C43" s="119"/>
      <c r="D43" s="119" t="s">
        <v>286</v>
      </c>
      <c r="E43" s="119" t="s">
        <v>135</v>
      </c>
      <c r="F43" s="119" t="s">
        <v>96</v>
      </c>
      <c r="G43" s="119" t="s">
        <v>56</v>
      </c>
      <c r="H43" s="119"/>
      <c r="I43" s="117">
        <v>192.0</v>
      </c>
      <c r="J43" s="118"/>
      <c r="K43" s="46"/>
      <c r="L43" s="46"/>
      <c r="M43" s="46"/>
      <c r="N43" s="117"/>
      <c r="O43" s="119"/>
      <c r="P43" s="119"/>
      <c r="Q43" s="120"/>
      <c r="R43" s="193" t="s">
        <v>287</v>
      </c>
      <c r="S43" s="194"/>
      <c r="T43" s="195"/>
      <c r="U43" s="195"/>
      <c r="V43" s="195"/>
      <c r="W43" s="195"/>
      <c r="X43" s="195"/>
      <c r="Y43" s="195"/>
      <c r="Z43" s="195"/>
      <c r="AA43" s="195"/>
    </row>
    <row r="44" ht="20.25" customHeight="1">
      <c r="A44" s="192" t="s">
        <v>121</v>
      </c>
      <c r="B44" s="118">
        <v>46102.0</v>
      </c>
      <c r="C44" s="119"/>
      <c r="D44" s="119" t="s">
        <v>288</v>
      </c>
      <c r="E44" s="119" t="s">
        <v>110</v>
      </c>
      <c r="F44" s="119" t="s">
        <v>96</v>
      </c>
      <c r="G44" s="119" t="s">
        <v>55</v>
      </c>
      <c r="H44" s="119"/>
      <c r="I44" s="117">
        <v>4400.0</v>
      </c>
      <c r="J44" s="118"/>
      <c r="K44" s="46"/>
      <c r="L44" s="46"/>
      <c r="M44" s="46"/>
      <c r="N44" s="117"/>
      <c r="O44" s="119"/>
      <c r="P44" s="119" t="s">
        <v>183</v>
      </c>
      <c r="Q44" s="120"/>
      <c r="R44" s="193"/>
      <c r="S44" s="194"/>
      <c r="T44" s="195"/>
      <c r="U44" s="195"/>
      <c r="V44" s="195"/>
      <c r="W44" s="195"/>
      <c r="X44" s="195"/>
      <c r="Y44" s="195"/>
      <c r="Z44" s="195"/>
      <c r="AA44" s="195"/>
    </row>
    <row r="45" ht="20.25" customHeight="1">
      <c r="A45" s="192" t="s">
        <v>108</v>
      </c>
      <c r="B45" s="118">
        <v>46102.0</v>
      </c>
      <c r="C45" s="119"/>
      <c r="D45" s="119" t="s">
        <v>289</v>
      </c>
      <c r="E45" s="119" t="s">
        <v>227</v>
      </c>
      <c r="F45" s="119" t="s">
        <v>96</v>
      </c>
      <c r="G45" s="119" t="s">
        <v>56</v>
      </c>
      <c r="H45" s="119"/>
      <c r="I45" s="117">
        <v>70.0</v>
      </c>
      <c r="J45" s="118"/>
      <c r="K45" s="46"/>
      <c r="L45" s="46"/>
      <c r="M45" s="46"/>
      <c r="N45" s="117"/>
      <c r="O45" s="119"/>
      <c r="P45" s="119"/>
      <c r="Q45" s="120"/>
      <c r="R45" s="193"/>
      <c r="S45" s="194"/>
      <c r="T45" s="195"/>
      <c r="U45" s="195"/>
      <c r="V45" s="195"/>
      <c r="W45" s="195"/>
      <c r="X45" s="195"/>
      <c r="Y45" s="195"/>
      <c r="Z45" s="195"/>
      <c r="AA45" s="195"/>
    </row>
    <row r="46" ht="20.25" customHeight="1">
      <c r="A46" s="192" t="s">
        <v>121</v>
      </c>
      <c r="B46" s="118">
        <v>46102.0</v>
      </c>
      <c r="C46" s="119"/>
      <c r="D46" s="119" t="s">
        <v>290</v>
      </c>
      <c r="E46" s="119" t="s">
        <v>135</v>
      </c>
      <c r="F46" s="119" t="s">
        <v>96</v>
      </c>
      <c r="G46" s="119" t="s">
        <v>56</v>
      </c>
      <c r="H46" s="119"/>
      <c r="I46" s="117">
        <v>224.0</v>
      </c>
      <c r="J46" s="118"/>
      <c r="K46" s="46"/>
      <c r="L46" s="46"/>
      <c r="M46" s="46"/>
      <c r="N46" s="117"/>
      <c r="O46" s="119"/>
      <c r="P46" s="119" t="s">
        <v>195</v>
      </c>
      <c r="Q46" s="120"/>
      <c r="R46" s="193"/>
      <c r="S46" s="194"/>
      <c r="T46" s="195"/>
      <c r="U46" s="195"/>
      <c r="V46" s="195"/>
      <c r="W46" s="195"/>
      <c r="X46" s="195"/>
      <c r="Y46" s="195"/>
      <c r="Z46" s="195"/>
      <c r="AA46" s="195"/>
    </row>
    <row r="47" ht="20.25" customHeight="1">
      <c r="A47" s="192" t="s">
        <v>108</v>
      </c>
      <c r="B47" s="118">
        <v>46102.0</v>
      </c>
      <c r="C47" s="119"/>
      <c r="D47" s="119" t="s">
        <v>291</v>
      </c>
      <c r="E47" s="119" t="s">
        <v>113</v>
      </c>
      <c r="F47" s="119" t="s">
        <v>96</v>
      </c>
      <c r="G47" s="119" t="s">
        <v>56</v>
      </c>
      <c r="H47" s="119"/>
      <c r="I47" s="117">
        <v>950.0</v>
      </c>
      <c r="J47" s="118"/>
      <c r="K47" s="46"/>
      <c r="L47" s="46"/>
      <c r="M47" s="46"/>
      <c r="N47" s="117"/>
      <c r="O47" s="119"/>
      <c r="P47" s="119"/>
      <c r="Q47" s="120"/>
      <c r="R47" s="219" t="s">
        <v>292</v>
      </c>
      <c r="S47" s="194"/>
      <c r="T47" s="195"/>
      <c r="U47" s="195"/>
      <c r="V47" s="195"/>
      <c r="W47" s="195"/>
      <c r="X47" s="195"/>
      <c r="Y47" s="195"/>
      <c r="Z47" s="195"/>
      <c r="AA47" s="195"/>
    </row>
    <row r="48" ht="20.25" customHeight="1">
      <c r="A48" s="192" t="s">
        <v>108</v>
      </c>
      <c r="B48" s="118">
        <v>46102.0</v>
      </c>
      <c r="C48" s="119"/>
      <c r="D48" s="119" t="s">
        <v>293</v>
      </c>
      <c r="E48" s="119" t="s">
        <v>135</v>
      </c>
      <c r="F48" s="119" t="s">
        <v>96</v>
      </c>
      <c r="G48" s="119" t="s">
        <v>55</v>
      </c>
      <c r="H48" s="119"/>
      <c r="I48" s="117">
        <v>1470.0</v>
      </c>
      <c r="J48" s="118"/>
      <c r="K48" s="46"/>
      <c r="L48" s="46"/>
      <c r="M48" s="46"/>
      <c r="N48" s="117"/>
      <c r="O48" s="119"/>
      <c r="P48" s="119"/>
      <c r="Q48" s="120"/>
      <c r="R48" s="219" t="s">
        <v>294</v>
      </c>
      <c r="S48" s="194"/>
      <c r="T48" s="195"/>
      <c r="U48" s="195"/>
      <c r="V48" s="195"/>
      <c r="W48" s="195"/>
      <c r="X48" s="195"/>
      <c r="Y48" s="195"/>
      <c r="Z48" s="195"/>
      <c r="AA48" s="195"/>
    </row>
    <row r="49" ht="20.25" customHeight="1">
      <c r="A49" s="192" t="s">
        <v>108</v>
      </c>
      <c r="B49" s="118">
        <v>46102.0</v>
      </c>
      <c r="C49" s="119"/>
      <c r="D49" s="119" t="s">
        <v>295</v>
      </c>
      <c r="E49" s="119" t="s">
        <v>135</v>
      </c>
      <c r="F49" s="119" t="s">
        <v>96</v>
      </c>
      <c r="G49" s="119" t="s">
        <v>55</v>
      </c>
      <c r="H49" s="119"/>
      <c r="I49" s="117">
        <v>5320.0</v>
      </c>
      <c r="J49" s="118"/>
      <c r="K49" s="46"/>
      <c r="L49" s="46"/>
      <c r="M49" s="46"/>
      <c r="N49" s="117"/>
      <c r="O49" s="119"/>
      <c r="P49" s="119"/>
      <c r="Q49" s="120"/>
      <c r="R49" s="219" t="s">
        <v>294</v>
      </c>
      <c r="S49" s="194"/>
      <c r="T49" s="195"/>
      <c r="U49" s="195"/>
      <c r="V49" s="195"/>
      <c r="W49" s="195"/>
      <c r="X49" s="195"/>
      <c r="Y49" s="195"/>
      <c r="Z49" s="195"/>
      <c r="AA49" s="195"/>
    </row>
    <row r="50" ht="20.25" customHeight="1">
      <c r="A50" s="192" t="s">
        <v>121</v>
      </c>
      <c r="B50" s="118">
        <v>46102.0</v>
      </c>
      <c r="C50" s="119"/>
      <c r="D50" s="119" t="s">
        <v>296</v>
      </c>
      <c r="E50" s="119" t="s">
        <v>135</v>
      </c>
      <c r="F50" s="119" t="s">
        <v>96</v>
      </c>
      <c r="G50" s="119" t="s">
        <v>56</v>
      </c>
      <c r="H50" s="119"/>
      <c r="I50" s="117">
        <v>112.0</v>
      </c>
      <c r="J50" s="118"/>
      <c r="K50" s="46"/>
      <c r="L50" s="46"/>
      <c r="M50" s="46"/>
      <c r="N50" s="117"/>
      <c r="O50" s="119"/>
      <c r="P50" s="119" t="s">
        <v>119</v>
      </c>
      <c r="Q50" s="120"/>
      <c r="R50" s="193"/>
      <c r="S50" s="194"/>
      <c r="T50" s="195"/>
      <c r="U50" s="195"/>
      <c r="V50" s="195"/>
      <c r="W50" s="195"/>
      <c r="X50" s="195"/>
      <c r="Y50" s="195"/>
      <c r="Z50" s="195"/>
      <c r="AA50" s="195"/>
    </row>
    <row r="51" ht="20.25" customHeight="1">
      <c r="A51" s="192" t="s">
        <v>121</v>
      </c>
      <c r="B51" s="118">
        <v>46102.0</v>
      </c>
      <c r="C51" s="119"/>
      <c r="D51" s="119" t="s">
        <v>297</v>
      </c>
      <c r="E51" s="119" t="s">
        <v>128</v>
      </c>
      <c r="F51" s="119" t="s">
        <v>90</v>
      </c>
      <c r="G51" s="119" t="s">
        <v>56</v>
      </c>
      <c r="H51" s="119"/>
      <c r="I51" s="117">
        <v>56.0</v>
      </c>
      <c r="J51" s="118"/>
      <c r="K51" s="46"/>
      <c r="L51" s="46"/>
      <c r="M51" s="46"/>
      <c r="N51" s="117"/>
      <c r="O51" s="119"/>
      <c r="P51" s="119" t="s">
        <v>119</v>
      </c>
      <c r="Q51" s="120"/>
      <c r="R51" s="193"/>
      <c r="S51" s="194"/>
      <c r="T51" s="195"/>
      <c r="U51" s="195"/>
      <c r="V51" s="195"/>
      <c r="W51" s="195"/>
      <c r="X51" s="195"/>
      <c r="Y51" s="195"/>
      <c r="Z51" s="195"/>
      <c r="AA51" s="195"/>
    </row>
    <row r="52" ht="20.25" customHeight="1">
      <c r="A52" s="192" t="s">
        <v>121</v>
      </c>
      <c r="B52" s="118">
        <v>46102.0</v>
      </c>
      <c r="C52" s="119"/>
      <c r="D52" s="119" t="s">
        <v>298</v>
      </c>
      <c r="E52" s="119" t="s">
        <v>113</v>
      </c>
      <c r="F52" s="119" t="s">
        <v>90</v>
      </c>
      <c r="G52" s="119" t="s">
        <v>55</v>
      </c>
      <c r="H52" s="119"/>
      <c r="I52" s="117">
        <v>4720.0</v>
      </c>
      <c r="J52" s="118"/>
      <c r="K52" s="46"/>
      <c r="L52" s="46"/>
      <c r="M52" s="46"/>
      <c r="N52" s="117"/>
      <c r="O52" s="119"/>
      <c r="P52" s="119" t="s">
        <v>97</v>
      </c>
      <c r="Q52" s="120"/>
      <c r="R52" s="193"/>
      <c r="S52" s="194"/>
      <c r="T52" s="195"/>
      <c r="U52" s="195"/>
      <c r="V52" s="195"/>
      <c r="W52" s="195"/>
      <c r="X52" s="195"/>
      <c r="Y52" s="195"/>
      <c r="Z52" s="195"/>
      <c r="AA52" s="195"/>
    </row>
    <row r="53" ht="20.25" customHeight="1">
      <c r="A53" s="192" t="s">
        <v>124</v>
      </c>
      <c r="B53" s="118">
        <v>46102.0</v>
      </c>
      <c r="C53" s="119"/>
      <c r="D53" s="119" t="s">
        <v>299</v>
      </c>
      <c r="E53" s="119" t="s">
        <v>113</v>
      </c>
      <c r="F53" s="119" t="s">
        <v>96</v>
      </c>
      <c r="G53" s="119" t="s">
        <v>55</v>
      </c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93"/>
      <c r="S53" s="194"/>
      <c r="T53" s="195"/>
      <c r="U53" s="195"/>
      <c r="V53" s="195"/>
      <c r="W53" s="195"/>
      <c r="X53" s="195"/>
      <c r="Y53" s="195"/>
      <c r="Z53" s="195"/>
      <c r="AA53" s="195"/>
    </row>
    <row r="54" ht="20.25" customHeight="1">
      <c r="A54" s="192" t="s">
        <v>108</v>
      </c>
      <c r="B54" s="118">
        <v>46104.0</v>
      </c>
      <c r="C54" s="119"/>
      <c r="D54" s="119" t="s">
        <v>300</v>
      </c>
      <c r="E54" s="119" t="s">
        <v>135</v>
      </c>
      <c r="F54" s="119" t="s">
        <v>90</v>
      </c>
      <c r="G54" s="119" t="s">
        <v>49</v>
      </c>
      <c r="H54" s="119"/>
      <c r="I54" s="117">
        <v>1352.0</v>
      </c>
      <c r="J54" s="118"/>
      <c r="K54" s="46"/>
      <c r="L54" s="46"/>
      <c r="M54" s="46"/>
      <c r="N54" s="117"/>
      <c r="O54" s="119"/>
      <c r="P54" s="119"/>
      <c r="Q54" s="120"/>
      <c r="R54" s="222" t="s">
        <v>301</v>
      </c>
      <c r="S54" s="194"/>
      <c r="T54" s="195"/>
      <c r="U54" s="195"/>
      <c r="V54" s="195"/>
      <c r="W54" s="195"/>
      <c r="X54" s="195"/>
      <c r="Y54" s="195"/>
      <c r="Z54" s="195"/>
      <c r="AA54" s="195"/>
    </row>
    <row r="55" ht="20.25" customHeight="1">
      <c r="A55" s="192" t="s">
        <v>121</v>
      </c>
      <c r="B55" s="118">
        <v>46104.0</v>
      </c>
      <c r="C55" s="119"/>
      <c r="D55" s="119" t="s">
        <v>302</v>
      </c>
      <c r="E55" s="119" t="s">
        <v>128</v>
      </c>
      <c r="F55" s="119" t="s">
        <v>90</v>
      </c>
      <c r="G55" s="119" t="s">
        <v>51</v>
      </c>
      <c r="H55" s="119"/>
      <c r="I55" s="117">
        <v>770.0</v>
      </c>
      <c r="J55" s="118"/>
      <c r="K55" s="46"/>
      <c r="L55" s="46"/>
      <c r="M55" s="46"/>
      <c r="N55" s="117"/>
      <c r="O55" s="119"/>
      <c r="P55" s="119" t="s">
        <v>119</v>
      </c>
      <c r="Q55" s="120"/>
      <c r="R55" s="193"/>
      <c r="S55" s="194"/>
      <c r="T55" s="195"/>
      <c r="U55" s="195"/>
      <c r="V55" s="195"/>
      <c r="W55" s="195"/>
      <c r="X55" s="195"/>
      <c r="Y55" s="195"/>
      <c r="Z55" s="195"/>
      <c r="AA55" s="195"/>
    </row>
    <row r="56" ht="20.25" customHeight="1">
      <c r="A56" s="192" t="s">
        <v>108</v>
      </c>
      <c r="B56" s="118">
        <v>46105.0</v>
      </c>
      <c r="C56" s="119"/>
      <c r="D56" s="119" t="s">
        <v>303</v>
      </c>
      <c r="E56" s="119" t="s">
        <v>227</v>
      </c>
      <c r="F56" s="119" t="s">
        <v>90</v>
      </c>
      <c r="G56" s="119" t="s">
        <v>50</v>
      </c>
      <c r="H56" s="119"/>
      <c r="I56" s="117">
        <v>500.0</v>
      </c>
      <c r="J56" s="118"/>
      <c r="K56" s="46"/>
      <c r="L56" s="46"/>
      <c r="M56" s="46"/>
      <c r="N56" s="117"/>
      <c r="O56" s="119"/>
      <c r="P56" s="119"/>
      <c r="Q56" s="120"/>
      <c r="R56" s="193"/>
      <c r="S56" s="194"/>
      <c r="T56" s="195"/>
      <c r="U56" s="195"/>
      <c r="V56" s="195"/>
      <c r="W56" s="195"/>
      <c r="X56" s="195"/>
      <c r="Y56" s="195"/>
      <c r="Z56" s="195"/>
      <c r="AA56" s="195"/>
    </row>
    <row r="57" ht="20.25" customHeight="1">
      <c r="A57" s="192" t="s">
        <v>121</v>
      </c>
      <c r="B57" s="118">
        <v>46106.0</v>
      </c>
      <c r="C57" s="119"/>
      <c r="D57" s="119" t="s">
        <v>304</v>
      </c>
      <c r="E57" s="119" t="s">
        <v>113</v>
      </c>
      <c r="F57" s="119" t="s">
        <v>90</v>
      </c>
      <c r="G57" s="119" t="s">
        <v>50</v>
      </c>
      <c r="H57" s="119"/>
      <c r="I57" s="117">
        <v>4740.0</v>
      </c>
      <c r="J57" s="118"/>
      <c r="K57" s="46"/>
      <c r="L57" s="46"/>
      <c r="M57" s="46"/>
      <c r="N57" s="117"/>
      <c r="O57" s="119"/>
      <c r="P57" s="119" t="s">
        <v>158</v>
      </c>
      <c r="Q57" s="120"/>
      <c r="R57" s="193"/>
      <c r="S57" s="194"/>
      <c r="T57" s="195"/>
      <c r="U57" s="195"/>
      <c r="V57" s="195"/>
      <c r="W57" s="195"/>
      <c r="X57" s="195"/>
      <c r="Y57" s="195"/>
      <c r="Z57" s="195"/>
      <c r="AA57" s="195"/>
    </row>
    <row r="58" ht="20.25" customHeight="1">
      <c r="A58" s="192" t="s">
        <v>108</v>
      </c>
      <c r="B58" s="118">
        <v>46106.0</v>
      </c>
      <c r="C58" s="119"/>
      <c r="D58" s="119" t="s">
        <v>305</v>
      </c>
      <c r="E58" s="119" t="s">
        <v>128</v>
      </c>
      <c r="F58" s="119" t="s">
        <v>90</v>
      </c>
      <c r="G58" s="119" t="s">
        <v>50</v>
      </c>
      <c r="H58" s="119"/>
      <c r="I58" s="117">
        <v>4500.0</v>
      </c>
      <c r="J58" s="118"/>
      <c r="K58" s="46"/>
      <c r="L58" s="46"/>
      <c r="M58" s="46"/>
      <c r="N58" s="117"/>
      <c r="O58" s="119"/>
      <c r="P58" s="119"/>
      <c r="Q58" s="120"/>
      <c r="R58" s="222" t="s">
        <v>306</v>
      </c>
      <c r="S58" s="194"/>
      <c r="T58" s="195"/>
      <c r="U58" s="195"/>
      <c r="V58" s="195"/>
      <c r="W58" s="195"/>
      <c r="X58" s="195"/>
      <c r="Y58" s="195"/>
      <c r="Z58" s="195"/>
      <c r="AA58" s="195"/>
    </row>
    <row r="59" ht="20.25" customHeight="1">
      <c r="A59" s="192" t="s">
        <v>121</v>
      </c>
      <c r="B59" s="118">
        <v>46107.0</v>
      </c>
      <c r="C59" s="119"/>
      <c r="D59" s="119" t="s">
        <v>307</v>
      </c>
      <c r="E59" s="119" t="s">
        <v>128</v>
      </c>
      <c r="F59" s="119" t="s">
        <v>96</v>
      </c>
      <c r="G59" s="119" t="s">
        <v>58</v>
      </c>
      <c r="H59" s="119"/>
      <c r="I59" s="117">
        <v>2800.0</v>
      </c>
      <c r="J59" s="118"/>
      <c r="K59" s="46"/>
      <c r="L59" s="46"/>
      <c r="M59" s="46"/>
      <c r="N59" s="117"/>
      <c r="O59" s="119"/>
      <c r="P59" s="119" t="s">
        <v>101</v>
      </c>
      <c r="Q59" s="120"/>
      <c r="R59" s="193"/>
      <c r="S59" s="194"/>
      <c r="T59" s="195"/>
      <c r="U59" s="195"/>
      <c r="V59" s="195"/>
      <c r="W59" s="195"/>
      <c r="X59" s="195"/>
      <c r="Y59" s="195"/>
      <c r="Z59" s="195"/>
      <c r="AA59" s="195"/>
    </row>
    <row r="60" ht="20.25" customHeight="1">
      <c r="A60" s="192" t="s">
        <v>121</v>
      </c>
      <c r="B60" s="118">
        <v>46108.0</v>
      </c>
      <c r="C60" s="119"/>
      <c r="D60" s="119" t="s">
        <v>308</v>
      </c>
      <c r="E60" s="119" t="s">
        <v>123</v>
      </c>
      <c r="F60" s="119" t="s">
        <v>90</v>
      </c>
      <c r="G60" s="119" t="s">
        <v>50</v>
      </c>
      <c r="H60" s="119"/>
      <c r="I60" s="117">
        <v>1030.0</v>
      </c>
      <c r="J60" s="118"/>
      <c r="K60" s="46"/>
      <c r="L60" s="46"/>
      <c r="M60" s="46"/>
      <c r="N60" s="117"/>
      <c r="O60" s="119"/>
      <c r="P60" s="119" t="s">
        <v>119</v>
      </c>
      <c r="Q60" s="120"/>
      <c r="R60" s="193"/>
      <c r="S60" s="194"/>
      <c r="T60" s="195"/>
      <c r="U60" s="195"/>
      <c r="V60" s="195"/>
      <c r="W60" s="195"/>
      <c r="X60" s="195"/>
      <c r="Y60" s="195"/>
      <c r="Z60" s="195"/>
      <c r="AA60" s="195"/>
    </row>
    <row r="61" ht="20.25" customHeight="1">
      <c r="A61" s="192" t="s">
        <v>108</v>
      </c>
      <c r="B61" s="118">
        <v>46112.0</v>
      </c>
      <c r="C61" s="119"/>
      <c r="D61" s="119" t="s">
        <v>309</v>
      </c>
      <c r="E61" s="119" t="s">
        <v>128</v>
      </c>
      <c r="F61" s="119" t="s">
        <v>90</v>
      </c>
      <c r="G61" s="119" t="s">
        <v>50</v>
      </c>
      <c r="H61" s="119"/>
      <c r="I61" s="117">
        <v>4600.0</v>
      </c>
      <c r="J61" s="118"/>
      <c r="K61" s="46"/>
      <c r="L61" s="46"/>
      <c r="M61" s="46"/>
      <c r="N61" s="117"/>
      <c r="O61" s="119"/>
      <c r="P61" s="119"/>
      <c r="Q61" s="120"/>
      <c r="R61" s="222" t="s">
        <v>310</v>
      </c>
      <c r="S61" s="194"/>
      <c r="T61" s="195"/>
      <c r="U61" s="195"/>
      <c r="V61" s="195"/>
      <c r="W61" s="195"/>
      <c r="X61" s="195"/>
      <c r="Y61" s="195"/>
      <c r="Z61" s="195"/>
      <c r="AA61" s="195"/>
    </row>
    <row r="62" ht="20.25" customHeight="1">
      <c r="A62" s="192" t="s">
        <v>108</v>
      </c>
      <c r="B62" s="118">
        <v>46112.0</v>
      </c>
      <c r="C62" s="119"/>
      <c r="D62" s="119" t="s">
        <v>311</v>
      </c>
      <c r="E62" s="119" t="s">
        <v>110</v>
      </c>
      <c r="F62" s="119" t="s">
        <v>96</v>
      </c>
      <c r="G62" s="119" t="s">
        <v>50</v>
      </c>
      <c r="H62" s="119"/>
      <c r="I62" s="117">
        <v>7400.0</v>
      </c>
      <c r="J62" s="118"/>
      <c r="K62" s="46"/>
      <c r="L62" s="46"/>
      <c r="M62" s="46"/>
      <c r="N62" s="117"/>
      <c r="O62" s="119"/>
      <c r="P62" s="119"/>
      <c r="Q62" s="120"/>
      <c r="R62" s="193"/>
      <c r="S62" s="194"/>
      <c r="T62" s="195"/>
      <c r="U62" s="195"/>
      <c r="V62" s="195"/>
      <c r="W62" s="195"/>
      <c r="X62" s="195"/>
      <c r="Y62" s="195"/>
      <c r="Z62" s="195"/>
      <c r="AA62" s="195"/>
    </row>
    <row r="63" ht="20.25" customHeight="1">
      <c r="A63" s="192" t="s">
        <v>108</v>
      </c>
      <c r="B63" s="118">
        <v>46112.0</v>
      </c>
      <c r="C63" s="119"/>
      <c r="D63" s="119" t="s">
        <v>312</v>
      </c>
      <c r="E63" s="119" t="s">
        <v>128</v>
      </c>
      <c r="F63" s="119" t="s">
        <v>90</v>
      </c>
      <c r="G63" s="119" t="s">
        <v>50</v>
      </c>
      <c r="H63" s="119"/>
      <c r="I63" s="117">
        <v>1300.0</v>
      </c>
      <c r="J63" s="118"/>
      <c r="K63" s="46"/>
      <c r="L63" s="46"/>
      <c r="M63" s="46"/>
      <c r="N63" s="117"/>
      <c r="O63" s="119"/>
      <c r="P63" s="119"/>
      <c r="Q63" s="120"/>
      <c r="R63" s="222" t="s">
        <v>313</v>
      </c>
      <c r="S63" s="194"/>
      <c r="T63" s="195"/>
      <c r="U63" s="195"/>
      <c r="V63" s="195"/>
      <c r="W63" s="195"/>
      <c r="X63" s="195"/>
      <c r="Y63" s="195"/>
      <c r="Z63" s="195"/>
      <c r="AA63" s="195"/>
    </row>
    <row r="64" ht="20.25" customHeight="1">
      <c r="A64" s="192" t="s">
        <v>121</v>
      </c>
      <c r="B64" s="118">
        <v>46112.0</v>
      </c>
      <c r="C64" s="119"/>
      <c r="D64" s="119" t="s">
        <v>314</v>
      </c>
      <c r="E64" s="119" t="s">
        <v>123</v>
      </c>
      <c r="F64" s="119" t="s">
        <v>90</v>
      </c>
      <c r="G64" s="119" t="s">
        <v>50</v>
      </c>
      <c r="H64" s="119"/>
      <c r="I64" s="117">
        <v>1130.0</v>
      </c>
      <c r="J64" s="118"/>
      <c r="K64" s="46"/>
      <c r="L64" s="46"/>
      <c r="M64" s="46"/>
      <c r="N64" s="117"/>
      <c r="O64" s="119"/>
      <c r="P64" s="119" t="s">
        <v>119</v>
      </c>
      <c r="Q64" s="120"/>
      <c r="R64" s="193"/>
      <c r="S64" s="194"/>
      <c r="T64" s="195"/>
      <c r="U64" s="195"/>
      <c r="V64" s="195"/>
      <c r="W64" s="195"/>
      <c r="X64" s="195"/>
      <c r="Y64" s="195"/>
      <c r="Z64" s="195"/>
      <c r="AA64" s="195"/>
    </row>
    <row r="65" ht="20.25" customHeight="1">
      <c r="A65" s="19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93"/>
      <c r="S65" s="194"/>
      <c r="T65" s="195"/>
      <c r="U65" s="195"/>
      <c r="V65" s="195"/>
      <c r="W65" s="195"/>
      <c r="X65" s="195"/>
      <c r="Y65" s="195"/>
      <c r="Z65" s="195"/>
      <c r="AA65" s="195"/>
    </row>
    <row r="66" ht="20.25" customHeight="1">
      <c r="A66" s="19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93"/>
      <c r="S66" s="194"/>
      <c r="T66" s="195"/>
      <c r="U66" s="195"/>
      <c r="V66" s="195"/>
      <c r="W66" s="195"/>
      <c r="X66" s="195"/>
      <c r="Y66" s="195"/>
      <c r="Z66" s="195"/>
      <c r="AA66" s="195"/>
    </row>
    <row r="67" ht="20.25" customHeight="1">
      <c r="A67" s="19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93"/>
      <c r="S67" s="194"/>
      <c r="T67" s="195"/>
      <c r="U67" s="195"/>
      <c r="V67" s="195"/>
      <c r="W67" s="195"/>
      <c r="X67" s="195"/>
      <c r="Y67" s="195"/>
      <c r="Z67" s="195"/>
      <c r="AA67" s="195"/>
    </row>
    <row r="68" ht="20.25" customHeight="1">
      <c r="A68" s="19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93"/>
      <c r="S68" s="194"/>
      <c r="T68" s="195"/>
      <c r="U68" s="195"/>
      <c r="V68" s="195"/>
      <c r="W68" s="195"/>
      <c r="X68" s="195"/>
      <c r="Y68" s="195"/>
      <c r="Z68" s="195"/>
      <c r="AA68" s="195"/>
    </row>
    <row r="69" ht="20.25" customHeight="1">
      <c r="A69" s="19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93"/>
      <c r="S69" s="194"/>
      <c r="T69" s="195"/>
      <c r="U69" s="195"/>
      <c r="V69" s="195"/>
      <c r="W69" s="195"/>
      <c r="X69" s="195"/>
      <c r="Y69" s="195"/>
      <c r="Z69" s="195"/>
      <c r="AA69" s="195"/>
    </row>
    <row r="70" ht="20.25" customHeight="1">
      <c r="A70" s="19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93"/>
      <c r="S70" s="194"/>
      <c r="T70" s="195"/>
      <c r="U70" s="195"/>
      <c r="V70" s="195"/>
      <c r="W70" s="195"/>
      <c r="X70" s="195"/>
      <c r="Y70" s="195"/>
      <c r="Z70" s="195"/>
      <c r="AA70" s="195"/>
    </row>
    <row r="71" ht="20.25" customHeight="1">
      <c r="A71" s="19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93"/>
      <c r="S71" s="194"/>
      <c r="T71" s="195"/>
      <c r="U71" s="195"/>
      <c r="V71" s="195"/>
      <c r="W71" s="195"/>
      <c r="X71" s="195"/>
      <c r="Y71" s="195"/>
      <c r="Z71" s="195"/>
      <c r="AA71" s="195"/>
    </row>
    <row r="72" ht="20.25" customHeight="1">
      <c r="A72" s="19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93"/>
      <c r="S72" s="194"/>
      <c r="T72" s="195"/>
      <c r="U72" s="195"/>
      <c r="V72" s="195"/>
      <c r="W72" s="195"/>
      <c r="X72" s="195"/>
      <c r="Y72" s="195"/>
      <c r="Z72" s="195"/>
      <c r="AA72" s="195"/>
    </row>
    <row r="73" ht="20.25" customHeight="1">
      <c r="A73" s="19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93"/>
      <c r="S73" s="194"/>
      <c r="T73" s="195"/>
      <c r="U73" s="195"/>
      <c r="V73" s="195"/>
      <c r="W73" s="195"/>
      <c r="X73" s="195"/>
      <c r="Y73" s="195"/>
      <c r="Z73" s="195"/>
      <c r="AA73" s="195"/>
    </row>
    <row r="74" ht="20.25" customHeight="1">
      <c r="A74" s="19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93"/>
      <c r="S74" s="194"/>
      <c r="T74" s="195"/>
      <c r="U74" s="195"/>
      <c r="V74" s="195"/>
      <c r="W74" s="195"/>
      <c r="X74" s="195"/>
      <c r="Y74" s="195"/>
      <c r="Z74" s="195"/>
      <c r="AA74" s="195"/>
    </row>
    <row r="75" ht="20.25" customHeight="1">
      <c r="A75" s="19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93"/>
      <c r="S75" s="194"/>
      <c r="T75" s="195"/>
      <c r="U75" s="195"/>
      <c r="V75" s="195"/>
      <c r="W75" s="195"/>
      <c r="X75" s="195"/>
      <c r="Y75" s="195"/>
      <c r="Z75" s="195"/>
      <c r="AA75" s="195"/>
    </row>
    <row r="76" ht="20.25" customHeight="1">
      <c r="A76" s="19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93"/>
      <c r="S76" s="194"/>
      <c r="T76" s="195"/>
      <c r="U76" s="195"/>
      <c r="V76" s="195"/>
      <c r="W76" s="195"/>
      <c r="X76" s="195"/>
      <c r="Y76" s="195"/>
      <c r="Z76" s="195"/>
      <c r="AA76" s="195"/>
    </row>
    <row r="77" ht="20.25" customHeight="1">
      <c r="A77" s="19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93"/>
      <c r="S77" s="194"/>
      <c r="T77" s="195"/>
      <c r="U77" s="195"/>
      <c r="V77" s="195"/>
      <c r="W77" s="195"/>
      <c r="X77" s="195"/>
      <c r="Y77" s="195"/>
      <c r="Z77" s="195"/>
      <c r="AA77" s="195"/>
    </row>
    <row r="78" ht="20.25" customHeight="1">
      <c r="A78" s="19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93"/>
      <c r="S78" s="194"/>
      <c r="T78" s="195"/>
      <c r="U78" s="195"/>
      <c r="V78" s="195"/>
      <c r="W78" s="195"/>
      <c r="X78" s="195"/>
      <c r="Y78" s="195"/>
      <c r="Z78" s="195"/>
      <c r="AA78" s="195"/>
    </row>
    <row r="79" ht="20.25" customHeight="1">
      <c r="A79" s="19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93"/>
      <c r="S79" s="194"/>
      <c r="T79" s="195"/>
      <c r="U79" s="195"/>
      <c r="V79" s="195"/>
      <c r="W79" s="195"/>
      <c r="X79" s="195"/>
      <c r="Y79" s="195"/>
      <c r="Z79" s="195"/>
      <c r="AA79" s="195"/>
    </row>
    <row r="80" ht="20.25" customHeight="1">
      <c r="A80" s="19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93"/>
      <c r="S80" s="194"/>
      <c r="T80" s="195"/>
      <c r="U80" s="195"/>
      <c r="V80" s="195"/>
      <c r="W80" s="195"/>
      <c r="X80" s="195"/>
      <c r="Y80" s="195"/>
      <c r="Z80" s="195"/>
      <c r="AA80" s="19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0 G11:G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C11:C80">
      <formula1>'Elenco Dip Sedi'!$D$5:$D$32</formula1>
    </dataValidation>
    <dataValidation type="list" allowBlank="1" showErrorMessage="1" sqref="O12:O80">
      <formula1>"x PRESTAZIONE,ACC + DILAZIONE,DILAZIONATO, ELYGHT,UNICO,PAGODIL"</formula1>
    </dataValidation>
    <dataValidation type="list" allowBlank="1" showErrorMessage="1" sqref="G11:G80">
      <formula1>'Elenco Dip Sedi'!$C$5:$C$32</formula1>
    </dataValidation>
    <dataValidation type="list" allowBlank="1" showErrorMessage="1" sqref="P11:P80">
      <formula1>'Elenco Dip Sedi'!$K$5:$K$32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E11:E80">
      <formula1>'Elenco Dip Sedi'!$N$5:$N$32</formula1>
    </dataValidation>
    <dataValidation type="list" allowBlank="1" showErrorMessage="1" sqref="F11:F80">
      <formula1>"M,F"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0.7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57"/>
      <c r="D1" s="156" t="s">
        <v>66</v>
      </c>
      <c r="E1" s="157" t="s">
        <v>67</v>
      </c>
      <c r="F1" s="53"/>
      <c r="G1" s="158" t="s">
        <v>103</v>
      </c>
      <c r="H1" s="159"/>
      <c r="I1" s="55"/>
      <c r="J1" s="56"/>
      <c r="L1" s="56"/>
      <c r="M1" s="57"/>
      <c r="N1" s="58"/>
      <c r="O1" s="59"/>
      <c r="P1" s="60"/>
      <c r="Q1" s="61"/>
    </row>
    <row r="2" ht="20.25" customHeight="1">
      <c r="D2" s="160"/>
      <c r="E2" s="160"/>
      <c r="F2" s="53"/>
      <c r="G2" s="161"/>
      <c r="H2" s="162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63"/>
      <c r="E3" s="164"/>
      <c r="F3" s="53"/>
      <c r="G3" s="57"/>
      <c r="H3" s="57"/>
      <c r="I3" s="70"/>
      <c r="J3" s="165"/>
      <c r="K3" s="165"/>
      <c r="L3" s="165"/>
      <c r="M3" s="166"/>
      <c r="N3" s="167"/>
      <c r="O3" s="72"/>
      <c r="P3" s="69"/>
      <c r="Q3" s="61"/>
    </row>
    <row r="4" ht="21.0" customHeight="1">
      <c r="D4" s="168"/>
      <c r="E4" s="169"/>
      <c r="F4" s="84"/>
      <c r="G4" s="84"/>
      <c r="H4" s="84"/>
      <c r="I4" s="170"/>
      <c r="J4" s="171"/>
      <c r="K4" s="171"/>
      <c r="L4" s="171"/>
      <c r="M4" s="78"/>
      <c r="N4" s="89"/>
      <c r="O4" s="172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73"/>
      <c r="E5" s="174"/>
      <c r="F5" s="175"/>
      <c r="G5" s="176"/>
      <c r="H5" s="177"/>
      <c r="I5" s="178"/>
      <c r="J5" s="179" t="s">
        <v>104</v>
      </c>
      <c r="L5" s="180"/>
      <c r="M5" s="181"/>
      <c r="N5" s="182"/>
      <c r="O5" s="183"/>
      <c r="P5" s="184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99"/>
      <c r="E6" s="77"/>
      <c r="F6" s="76"/>
      <c r="G6" s="77"/>
      <c r="H6" s="78"/>
      <c r="I6" s="80" t="s">
        <v>105</v>
      </c>
      <c r="L6" s="186">
        <f>SUMIF(A11:A140,"INZIA IL TRATTAMENTO-VENDITA", I11:I140)</f>
        <v>23735</v>
      </c>
      <c r="M6" s="187"/>
      <c r="O6" s="82"/>
      <c r="P6" s="18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89" t="s">
        <v>106</v>
      </c>
      <c r="K7" s="78"/>
      <c r="L7" s="190">
        <f>L6+SUMIFS('OPPORTUNITA DI VENDITA'!J198:J513,'OPPORTUNITA DI VENDITA'!C198:C513, "&gt;=01/04/2026", 'OPPORTUNITA DI VENDITA'!C198:C513, "&lt;=30/04/2026",'OPPORTUNITA DI VENDITA'!B198:B513,"ESEGUITO")</f>
        <v>23735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105" t="s">
        <v>107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91"/>
      <c r="C10" s="191"/>
      <c r="D10" s="191"/>
      <c r="E10" s="191"/>
      <c r="F10" s="114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0.25" customHeight="1">
      <c r="A11" s="192" t="s">
        <v>121</v>
      </c>
      <c r="B11" s="223">
        <v>46113.0</v>
      </c>
      <c r="C11" s="119"/>
      <c r="D11" s="119" t="s">
        <v>315</v>
      </c>
      <c r="E11" s="119" t="s">
        <v>146</v>
      </c>
      <c r="F11" s="119" t="s">
        <v>90</v>
      </c>
      <c r="G11" s="119" t="s">
        <v>54</v>
      </c>
      <c r="H11" s="119"/>
      <c r="I11" s="117">
        <v>90.0</v>
      </c>
      <c r="J11" s="118"/>
      <c r="K11" s="46"/>
      <c r="L11" s="46"/>
      <c r="M11" s="46"/>
      <c r="N11" s="117"/>
      <c r="O11" s="119"/>
      <c r="P11" s="119" t="s">
        <v>119</v>
      </c>
      <c r="Q11" s="120"/>
      <c r="R11" s="193"/>
      <c r="S11" s="194"/>
      <c r="T11" s="195"/>
      <c r="U11" s="195"/>
      <c r="V11" s="195"/>
      <c r="W11" s="195"/>
      <c r="X11" s="195"/>
      <c r="Y11" s="195"/>
      <c r="Z11" s="195"/>
      <c r="AA11" s="195"/>
    </row>
    <row r="12" ht="20.25" customHeight="1">
      <c r="A12" s="192" t="s">
        <v>108</v>
      </c>
      <c r="B12" s="118">
        <v>46113.0</v>
      </c>
      <c r="C12" s="119"/>
      <c r="D12" s="119" t="s">
        <v>316</v>
      </c>
      <c r="E12" s="119" t="s">
        <v>146</v>
      </c>
      <c r="F12" s="119" t="s">
        <v>90</v>
      </c>
      <c r="G12" s="119" t="s">
        <v>50</v>
      </c>
      <c r="H12" s="119"/>
      <c r="I12" s="117">
        <v>4410.0</v>
      </c>
      <c r="J12" s="118"/>
      <c r="K12" s="46"/>
      <c r="L12" s="46"/>
      <c r="M12" s="46"/>
      <c r="N12" s="117"/>
      <c r="O12" s="119"/>
      <c r="P12" s="119"/>
      <c r="Q12" s="120"/>
      <c r="R12" s="217" t="s">
        <v>317</v>
      </c>
      <c r="S12" s="194"/>
      <c r="T12" s="195"/>
      <c r="U12" s="195"/>
      <c r="V12" s="195"/>
      <c r="W12" s="195"/>
      <c r="X12" s="195"/>
      <c r="Y12" s="195"/>
      <c r="Z12" s="195"/>
      <c r="AA12" s="195"/>
    </row>
    <row r="13" ht="20.25" customHeight="1">
      <c r="A13" s="192" t="s">
        <v>108</v>
      </c>
      <c r="B13" s="118">
        <v>46113.0</v>
      </c>
      <c r="C13" s="119"/>
      <c r="D13" s="119" t="s">
        <v>318</v>
      </c>
      <c r="E13" s="119" t="s">
        <v>135</v>
      </c>
      <c r="F13" s="119" t="s">
        <v>96</v>
      </c>
      <c r="G13" s="119" t="s">
        <v>50</v>
      </c>
      <c r="H13" s="119"/>
      <c r="I13" s="117">
        <v>2000.0</v>
      </c>
      <c r="J13" s="118"/>
      <c r="K13" s="46"/>
      <c r="L13" s="46"/>
      <c r="M13" s="46"/>
      <c r="N13" s="117"/>
      <c r="O13" s="119"/>
      <c r="P13" s="119"/>
      <c r="Q13" s="120"/>
      <c r="R13" s="193"/>
      <c r="S13" s="194"/>
      <c r="T13" s="195"/>
      <c r="U13" s="195"/>
      <c r="V13" s="195"/>
      <c r="W13" s="195"/>
      <c r="X13" s="195"/>
      <c r="Y13" s="195"/>
      <c r="Z13" s="195"/>
      <c r="AA13" s="195"/>
    </row>
    <row r="14" ht="20.25" customHeight="1">
      <c r="A14" s="192" t="s">
        <v>121</v>
      </c>
      <c r="B14" s="118">
        <v>46113.0</v>
      </c>
      <c r="C14" s="119"/>
      <c r="D14" s="119" t="s">
        <v>319</v>
      </c>
      <c r="E14" s="119" t="s">
        <v>146</v>
      </c>
      <c r="F14" s="119" t="s">
        <v>90</v>
      </c>
      <c r="G14" s="119" t="s">
        <v>54</v>
      </c>
      <c r="H14" s="119"/>
      <c r="I14" s="117">
        <v>351.0</v>
      </c>
      <c r="J14" s="118"/>
      <c r="K14" s="46"/>
      <c r="L14" s="46"/>
      <c r="M14" s="46"/>
      <c r="N14" s="117"/>
      <c r="O14" s="119"/>
      <c r="P14" s="119" t="s">
        <v>158</v>
      </c>
      <c r="Q14" s="120"/>
      <c r="R14" s="193"/>
      <c r="S14" s="194"/>
      <c r="T14" s="195"/>
      <c r="U14" s="195"/>
      <c r="V14" s="195"/>
      <c r="W14" s="195"/>
      <c r="X14" s="195"/>
      <c r="Y14" s="195"/>
      <c r="Z14" s="195"/>
      <c r="AA14" s="195"/>
    </row>
    <row r="15" ht="20.25" customHeight="1">
      <c r="A15" s="192" t="s">
        <v>124</v>
      </c>
      <c r="B15" s="118">
        <v>46113.0</v>
      </c>
      <c r="C15" s="119"/>
      <c r="D15" s="119" t="s">
        <v>320</v>
      </c>
      <c r="E15" s="119" t="s">
        <v>146</v>
      </c>
      <c r="F15" s="119" t="s">
        <v>90</v>
      </c>
      <c r="G15" s="119" t="s">
        <v>50</v>
      </c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93"/>
      <c r="S15" s="194"/>
      <c r="T15" s="195"/>
      <c r="U15" s="195"/>
      <c r="V15" s="195"/>
      <c r="W15" s="195"/>
      <c r="X15" s="195"/>
      <c r="Y15" s="195"/>
      <c r="Z15" s="195"/>
      <c r="AA15" s="195"/>
    </row>
    <row r="16" ht="20.25" customHeight="1">
      <c r="A16" s="192" t="s">
        <v>108</v>
      </c>
      <c r="B16" s="118">
        <v>46113.0</v>
      </c>
      <c r="C16" s="119"/>
      <c r="D16" s="119" t="s">
        <v>321</v>
      </c>
      <c r="E16" s="119" t="s">
        <v>227</v>
      </c>
      <c r="F16" s="119" t="s">
        <v>90</v>
      </c>
      <c r="G16" s="119" t="s">
        <v>49</v>
      </c>
      <c r="H16" s="119"/>
      <c r="I16" s="117">
        <v>250.0</v>
      </c>
      <c r="J16" s="118"/>
      <c r="K16" s="46"/>
      <c r="L16" s="46"/>
      <c r="M16" s="46"/>
      <c r="N16" s="117"/>
      <c r="O16" s="119"/>
      <c r="P16" s="119"/>
      <c r="Q16" s="120"/>
      <c r="R16" s="217" t="s">
        <v>322</v>
      </c>
      <c r="S16" s="194"/>
      <c r="T16" s="195"/>
      <c r="U16" s="195"/>
      <c r="V16" s="195"/>
      <c r="W16" s="195"/>
      <c r="X16" s="195"/>
      <c r="Y16" s="195"/>
      <c r="Z16" s="195"/>
      <c r="AA16" s="195"/>
    </row>
    <row r="17" ht="20.25" customHeight="1">
      <c r="A17" s="192" t="s">
        <v>108</v>
      </c>
      <c r="B17" s="118">
        <v>46113.0</v>
      </c>
      <c r="C17" s="119"/>
      <c r="D17" s="119" t="s">
        <v>323</v>
      </c>
      <c r="E17" s="119" t="s">
        <v>128</v>
      </c>
      <c r="F17" s="119" t="s">
        <v>90</v>
      </c>
      <c r="G17" s="119" t="s">
        <v>49</v>
      </c>
      <c r="H17" s="119"/>
      <c r="I17" s="117">
        <v>500.0</v>
      </c>
      <c r="J17" s="118"/>
      <c r="K17" s="46"/>
      <c r="L17" s="46"/>
      <c r="M17" s="46"/>
      <c r="N17" s="117"/>
      <c r="O17" s="119"/>
      <c r="P17" s="119"/>
      <c r="Q17" s="120"/>
      <c r="R17" s="217" t="s">
        <v>324</v>
      </c>
      <c r="S17" s="194"/>
      <c r="T17" s="195"/>
      <c r="U17" s="195"/>
      <c r="V17" s="195"/>
      <c r="W17" s="195"/>
      <c r="X17" s="195"/>
      <c r="Y17" s="195"/>
      <c r="Z17" s="195"/>
      <c r="AA17" s="195"/>
    </row>
    <row r="18" ht="20.25" customHeight="1">
      <c r="A18" s="192" t="s">
        <v>124</v>
      </c>
      <c r="B18" s="118">
        <v>46114.0</v>
      </c>
      <c r="C18" s="119"/>
      <c r="D18" s="119" t="s">
        <v>325</v>
      </c>
      <c r="E18" s="119" t="s">
        <v>113</v>
      </c>
      <c r="F18" s="119" t="s">
        <v>90</v>
      </c>
      <c r="G18" s="119" t="s">
        <v>58</v>
      </c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93"/>
      <c r="S18" s="194"/>
      <c r="T18" s="195"/>
      <c r="U18" s="195"/>
      <c r="V18" s="195"/>
      <c r="W18" s="195"/>
      <c r="X18" s="195"/>
      <c r="Y18" s="195"/>
      <c r="Z18" s="195"/>
      <c r="AA18" s="195"/>
    </row>
    <row r="19" ht="20.25" customHeight="1">
      <c r="A19" s="192" t="s">
        <v>108</v>
      </c>
      <c r="B19" s="118">
        <v>46114.0</v>
      </c>
      <c r="C19" s="119"/>
      <c r="D19" s="119" t="s">
        <v>326</v>
      </c>
      <c r="E19" s="119" t="s">
        <v>227</v>
      </c>
      <c r="F19" s="119" t="s">
        <v>96</v>
      </c>
      <c r="G19" s="119" t="s">
        <v>57</v>
      </c>
      <c r="H19" s="119"/>
      <c r="I19" s="117">
        <v>7900.0</v>
      </c>
      <c r="J19" s="118"/>
      <c r="K19" s="46"/>
      <c r="L19" s="46"/>
      <c r="M19" s="46"/>
      <c r="N19" s="117"/>
      <c r="O19" s="119"/>
      <c r="P19" s="119"/>
      <c r="Q19" s="120"/>
      <c r="R19" s="217" t="s">
        <v>181</v>
      </c>
      <c r="S19" s="194"/>
      <c r="T19" s="195"/>
      <c r="U19" s="195"/>
      <c r="V19" s="195"/>
      <c r="W19" s="195"/>
      <c r="X19" s="195"/>
      <c r="Y19" s="195"/>
      <c r="Z19" s="195"/>
      <c r="AA19" s="195"/>
    </row>
    <row r="20" ht="20.25" customHeight="1">
      <c r="A20" s="192" t="s">
        <v>108</v>
      </c>
      <c r="B20" s="118">
        <v>46120.0</v>
      </c>
      <c r="C20" s="119"/>
      <c r="D20" s="119" t="s">
        <v>327</v>
      </c>
      <c r="E20" s="119" t="s">
        <v>110</v>
      </c>
      <c r="F20" s="119" t="s">
        <v>96</v>
      </c>
      <c r="G20" s="119" t="s">
        <v>50</v>
      </c>
      <c r="H20" s="119"/>
      <c r="I20" s="117">
        <v>3195.0</v>
      </c>
      <c r="J20" s="118"/>
      <c r="K20" s="46"/>
      <c r="L20" s="46"/>
      <c r="M20" s="46"/>
      <c r="N20" s="117"/>
      <c r="O20" s="119"/>
      <c r="P20" s="119"/>
      <c r="Q20" s="120"/>
      <c r="R20" s="217" t="s">
        <v>181</v>
      </c>
      <c r="S20" s="194"/>
      <c r="T20" s="195"/>
      <c r="U20" s="195"/>
      <c r="V20" s="195"/>
      <c r="W20" s="195"/>
      <c r="X20" s="195"/>
      <c r="Y20" s="195"/>
      <c r="Z20" s="195"/>
      <c r="AA20" s="195"/>
    </row>
    <row r="21" ht="20.25" customHeight="1">
      <c r="A21" s="192" t="s">
        <v>121</v>
      </c>
      <c r="B21" s="118">
        <v>46120.0</v>
      </c>
      <c r="C21" s="119"/>
      <c r="D21" s="119" t="s">
        <v>328</v>
      </c>
      <c r="E21" s="119" t="s">
        <v>123</v>
      </c>
      <c r="F21" s="119" t="s">
        <v>96</v>
      </c>
      <c r="G21" s="119" t="s">
        <v>50</v>
      </c>
      <c r="H21" s="119"/>
      <c r="I21" s="117">
        <v>630.0</v>
      </c>
      <c r="J21" s="118"/>
      <c r="K21" s="46"/>
      <c r="L21" s="46"/>
      <c r="M21" s="46"/>
      <c r="N21" s="117"/>
      <c r="O21" s="119"/>
      <c r="P21" s="119" t="s">
        <v>119</v>
      </c>
      <c r="Q21" s="120"/>
      <c r="R21" s="193"/>
      <c r="S21" s="194"/>
      <c r="T21" s="195"/>
      <c r="U21" s="195"/>
      <c r="V21" s="195"/>
      <c r="W21" s="195"/>
      <c r="X21" s="195"/>
      <c r="Y21" s="195"/>
      <c r="Z21" s="195"/>
      <c r="AA21" s="195"/>
    </row>
    <row r="22" ht="20.25" customHeight="1">
      <c r="A22" s="192" t="s">
        <v>124</v>
      </c>
      <c r="B22" s="118">
        <v>46120.0</v>
      </c>
      <c r="C22" s="119"/>
      <c r="D22" s="119" t="s">
        <v>329</v>
      </c>
      <c r="E22" s="119" t="s">
        <v>126</v>
      </c>
      <c r="F22" s="119" t="s">
        <v>90</v>
      </c>
      <c r="G22" s="119" t="s">
        <v>50</v>
      </c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93"/>
      <c r="S22" s="194"/>
      <c r="T22" s="195"/>
      <c r="U22" s="195"/>
      <c r="V22" s="195"/>
      <c r="W22" s="195"/>
      <c r="X22" s="195"/>
      <c r="Y22" s="195"/>
      <c r="Z22" s="195"/>
      <c r="AA22" s="195"/>
    </row>
    <row r="23" ht="20.25" customHeight="1">
      <c r="A23" s="192" t="s">
        <v>121</v>
      </c>
      <c r="B23" s="118">
        <v>46120.0</v>
      </c>
      <c r="C23" s="119"/>
      <c r="D23" s="119" t="s">
        <v>330</v>
      </c>
      <c r="E23" s="119" t="s">
        <v>123</v>
      </c>
      <c r="F23" s="119" t="s">
        <v>90</v>
      </c>
      <c r="G23" s="119" t="s">
        <v>50</v>
      </c>
      <c r="H23" s="119"/>
      <c r="I23" s="117">
        <v>530.0</v>
      </c>
      <c r="J23" s="118"/>
      <c r="K23" s="46"/>
      <c r="L23" s="46"/>
      <c r="M23" s="46"/>
      <c r="N23" s="117"/>
      <c r="O23" s="119"/>
      <c r="P23" s="119" t="s">
        <v>119</v>
      </c>
      <c r="Q23" s="120"/>
      <c r="R23" s="193"/>
      <c r="S23" s="194"/>
      <c r="T23" s="195"/>
      <c r="U23" s="195"/>
      <c r="V23" s="195"/>
      <c r="W23" s="195"/>
      <c r="X23" s="195"/>
      <c r="Y23" s="195"/>
      <c r="Z23" s="195"/>
      <c r="AA23" s="195"/>
    </row>
    <row r="24" ht="20.25" customHeight="1">
      <c r="A24" s="192" t="s">
        <v>108</v>
      </c>
      <c r="B24" s="118">
        <v>46120.0</v>
      </c>
      <c r="C24" s="119"/>
      <c r="D24" s="119" t="s">
        <v>331</v>
      </c>
      <c r="E24" s="119" t="s">
        <v>110</v>
      </c>
      <c r="F24" s="119" t="s">
        <v>96</v>
      </c>
      <c r="G24" s="119" t="s">
        <v>54</v>
      </c>
      <c r="H24" s="119"/>
      <c r="I24" s="117">
        <v>6500.0</v>
      </c>
      <c r="J24" s="118"/>
      <c r="K24" s="46"/>
      <c r="L24" s="46"/>
      <c r="M24" s="46"/>
      <c r="N24" s="117"/>
      <c r="O24" s="119"/>
      <c r="P24" s="119"/>
      <c r="Q24" s="120"/>
      <c r="R24" s="219" t="s">
        <v>332</v>
      </c>
      <c r="S24" s="194"/>
      <c r="T24" s="195"/>
      <c r="U24" s="195"/>
      <c r="V24" s="195"/>
      <c r="W24" s="195"/>
      <c r="X24" s="195"/>
      <c r="Y24" s="195"/>
      <c r="Z24" s="195"/>
      <c r="AA24" s="195"/>
    </row>
    <row r="25" ht="20.25" customHeight="1">
      <c r="A25" s="192" t="s">
        <v>108</v>
      </c>
      <c r="B25" s="118">
        <v>46120.0</v>
      </c>
      <c r="C25" s="119"/>
      <c r="D25" s="119" t="s">
        <v>333</v>
      </c>
      <c r="E25" s="119" t="s">
        <v>227</v>
      </c>
      <c r="F25" s="119" t="s">
        <v>90</v>
      </c>
      <c r="G25" s="119" t="s">
        <v>50</v>
      </c>
      <c r="H25" s="119"/>
      <c r="I25" s="117">
        <v>3900.0</v>
      </c>
      <c r="J25" s="118"/>
      <c r="K25" s="46"/>
      <c r="L25" s="46"/>
      <c r="M25" s="46"/>
      <c r="N25" s="117"/>
      <c r="O25" s="119"/>
      <c r="P25" s="119"/>
      <c r="Q25" s="120"/>
      <c r="R25" s="224" t="s">
        <v>334</v>
      </c>
      <c r="S25" s="194"/>
      <c r="T25" s="195"/>
      <c r="U25" s="195"/>
      <c r="V25" s="195"/>
      <c r="W25" s="195"/>
      <c r="X25" s="195"/>
      <c r="Y25" s="195"/>
      <c r="Z25" s="195"/>
      <c r="AA25" s="195"/>
    </row>
    <row r="26" ht="20.25" customHeight="1">
      <c r="A26" s="192" t="s">
        <v>108</v>
      </c>
      <c r="B26" s="118">
        <v>46121.0</v>
      </c>
      <c r="C26" s="119"/>
      <c r="D26" s="119" t="s">
        <v>335</v>
      </c>
      <c r="E26" s="119" t="s">
        <v>110</v>
      </c>
      <c r="F26" s="119" t="s">
        <v>96</v>
      </c>
      <c r="G26" s="119" t="s">
        <v>58</v>
      </c>
      <c r="H26" s="119"/>
      <c r="I26" s="117">
        <v>9522.0</v>
      </c>
      <c r="J26" s="118"/>
      <c r="K26" s="46"/>
      <c r="L26" s="46"/>
      <c r="M26" s="46"/>
      <c r="N26" s="117"/>
      <c r="O26" s="119"/>
      <c r="P26" s="119"/>
      <c r="Q26" s="120"/>
      <c r="R26" s="219" t="s">
        <v>336</v>
      </c>
      <c r="S26" s="194"/>
      <c r="T26" s="195"/>
      <c r="U26" s="195"/>
      <c r="V26" s="195"/>
      <c r="W26" s="195"/>
      <c r="X26" s="195"/>
      <c r="Y26" s="195"/>
      <c r="Z26" s="195"/>
      <c r="AA26" s="195"/>
    </row>
    <row r="27" ht="20.25" customHeight="1">
      <c r="A27" s="192" t="s">
        <v>108</v>
      </c>
      <c r="B27" s="118">
        <v>46121.0</v>
      </c>
      <c r="C27" s="119"/>
      <c r="D27" s="119" t="s">
        <v>337</v>
      </c>
      <c r="E27" s="119" t="s">
        <v>110</v>
      </c>
      <c r="F27" s="119" t="s">
        <v>96</v>
      </c>
      <c r="G27" s="119" t="s">
        <v>55</v>
      </c>
      <c r="H27" s="119"/>
      <c r="I27" s="117">
        <v>5400.0</v>
      </c>
      <c r="J27" s="118"/>
      <c r="K27" s="46"/>
      <c r="L27" s="46"/>
      <c r="M27" s="46"/>
      <c r="N27" s="117"/>
      <c r="O27" s="119"/>
      <c r="P27" s="119"/>
      <c r="Q27" s="120"/>
      <c r="R27" s="224" t="s">
        <v>338</v>
      </c>
      <c r="S27" s="194"/>
      <c r="T27" s="195"/>
      <c r="U27" s="195"/>
      <c r="V27" s="195"/>
      <c r="W27" s="195"/>
      <c r="X27" s="195"/>
      <c r="Y27" s="195"/>
      <c r="Z27" s="195"/>
      <c r="AA27" s="195"/>
    </row>
    <row r="28" ht="20.25" customHeight="1">
      <c r="A28" s="192" t="s">
        <v>121</v>
      </c>
      <c r="B28" s="118">
        <v>46121.0</v>
      </c>
      <c r="C28" s="119"/>
      <c r="D28" s="119" t="s">
        <v>339</v>
      </c>
      <c r="E28" s="119" t="s">
        <v>128</v>
      </c>
      <c r="F28" s="119" t="s">
        <v>90</v>
      </c>
      <c r="G28" s="119" t="s">
        <v>58</v>
      </c>
      <c r="H28" s="119"/>
      <c r="I28" s="117">
        <v>395.0</v>
      </c>
      <c r="J28" s="118"/>
      <c r="K28" s="46"/>
      <c r="L28" s="46"/>
      <c r="M28" s="46"/>
      <c r="N28" s="117"/>
      <c r="O28" s="119"/>
      <c r="P28" s="119" t="s">
        <v>195</v>
      </c>
      <c r="Q28" s="120"/>
      <c r="R28" s="193"/>
      <c r="S28" s="194"/>
      <c r="T28" s="195"/>
      <c r="U28" s="195"/>
      <c r="V28" s="195"/>
      <c r="W28" s="195"/>
      <c r="X28" s="195"/>
      <c r="Y28" s="195"/>
      <c r="Z28" s="195"/>
      <c r="AA28" s="195"/>
    </row>
    <row r="29" ht="20.25" customHeight="1">
      <c r="A29" s="192" t="s">
        <v>108</v>
      </c>
      <c r="B29" s="118">
        <v>46125.0</v>
      </c>
      <c r="C29" s="119"/>
      <c r="D29" s="119" t="s">
        <v>340</v>
      </c>
      <c r="E29" s="119" t="s">
        <v>128</v>
      </c>
      <c r="F29" s="119" t="s">
        <v>96</v>
      </c>
      <c r="G29" s="119" t="s">
        <v>49</v>
      </c>
      <c r="H29" s="119"/>
      <c r="I29" s="117">
        <v>5670.0</v>
      </c>
      <c r="J29" s="118"/>
      <c r="K29" s="46"/>
      <c r="L29" s="46"/>
      <c r="M29" s="46"/>
      <c r="N29" s="117"/>
      <c r="O29" s="119"/>
      <c r="P29" s="119"/>
      <c r="Q29" s="120"/>
      <c r="R29" s="219" t="s">
        <v>341</v>
      </c>
      <c r="S29" s="194"/>
      <c r="T29" s="195"/>
      <c r="U29" s="195"/>
      <c r="V29" s="195"/>
      <c r="W29" s="195"/>
      <c r="X29" s="195"/>
      <c r="Y29" s="195"/>
      <c r="Z29" s="195"/>
      <c r="AA29" s="195"/>
    </row>
    <row r="30" ht="20.25" customHeight="1">
      <c r="A30" s="192" t="s">
        <v>108</v>
      </c>
      <c r="B30" s="118">
        <v>46125.0</v>
      </c>
      <c r="C30" s="119"/>
      <c r="D30" s="119" t="s">
        <v>342</v>
      </c>
      <c r="E30" s="119" t="s">
        <v>128</v>
      </c>
      <c r="F30" s="119" t="s">
        <v>90</v>
      </c>
      <c r="G30" s="119" t="s">
        <v>49</v>
      </c>
      <c r="H30" s="119"/>
      <c r="I30" s="117">
        <v>11061.0</v>
      </c>
      <c r="J30" s="118"/>
      <c r="K30" s="46"/>
      <c r="L30" s="46"/>
      <c r="M30" s="46"/>
      <c r="N30" s="117"/>
      <c r="O30" s="119"/>
      <c r="P30" s="119"/>
      <c r="Q30" s="120"/>
      <c r="R30" s="219" t="s">
        <v>341</v>
      </c>
      <c r="S30" s="194"/>
      <c r="T30" s="195"/>
      <c r="U30" s="195"/>
      <c r="V30" s="195"/>
      <c r="W30" s="195"/>
      <c r="X30" s="195"/>
      <c r="Y30" s="195"/>
      <c r="Z30" s="195"/>
      <c r="AA30" s="195"/>
    </row>
    <row r="31" ht="20.25" customHeight="1">
      <c r="A31" s="192" t="s">
        <v>234</v>
      </c>
      <c r="B31" s="118">
        <v>46125.0</v>
      </c>
      <c r="C31" s="119"/>
      <c r="D31" s="119" t="s">
        <v>343</v>
      </c>
      <c r="E31" s="119" t="s">
        <v>227</v>
      </c>
      <c r="F31" s="119" t="s">
        <v>90</v>
      </c>
      <c r="G31" s="119" t="s">
        <v>49</v>
      </c>
      <c r="H31" s="119"/>
      <c r="I31" s="117">
        <v>3690.0</v>
      </c>
      <c r="J31" s="118"/>
      <c r="K31" s="46"/>
      <c r="L31" s="46"/>
      <c r="M31" s="46"/>
      <c r="N31" s="117"/>
      <c r="O31" s="119"/>
      <c r="P31" s="119"/>
      <c r="Q31" s="120"/>
      <c r="R31" s="193" t="s">
        <v>344</v>
      </c>
      <c r="S31" s="194"/>
      <c r="T31" s="195"/>
      <c r="U31" s="195"/>
      <c r="V31" s="195"/>
      <c r="W31" s="195"/>
      <c r="X31" s="195"/>
      <c r="Y31" s="195"/>
      <c r="Z31" s="195"/>
      <c r="AA31" s="195"/>
    </row>
    <row r="32" ht="20.25" customHeight="1">
      <c r="A32" s="192" t="s">
        <v>121</v>
      </c>
      <c r="B32" s="118">
        <v>46126.0</v>
      </c>
      <c r="C32" s="119"/>
      <c r="D32" s="119" t="s">
        <v>345</v>
      </c>
      <c r="E32" s="119" t="s">
        <v>126</v>
      </c>
      <c r="F32" s="119" t="s">
        <v>90</v>
      </c>
      <c r="G32" s="119" t="s">
        <v>50</v>
      </c>
      <c r="H32" s="119"/>
      <c r="I32" s="117">
        <v>1900.0</v>
      </c>
      <c r="J32" s="118"/>
      <c r="K32" s="46"/>
      <c r="L32" s="46"/>
      <c r="M32" s="46"/>
      <c r="N32" s="117"/>
      <c r="O32" s="119"/>
      <c r="P32" s="119" t="s">
        <v>195</v>
      </c>
      <c r="Q32" s="120"/>
      <c r="R32" s="193"/>
      <c r="S32" s="194"/>
      <c r="T32" s="195"/>
      <c r="U32" s="195"/>
      <c r="V32" s="195"/>
      <c r="W32" s="195"/>
      <c r="X32" s="195"/>
      <c r="Y32" s="195"/>
      <c r="Z32" s="195"/>
      <c r="AA32" s="195"/>
    </row>
    <row r="33" ht="20.25" customHeight="1">
      <c r="A33" s="192" t="s">
        <v>121</v>
      </c>
      <c r="B33" s="118">
        <v>46126.0</v>
      </c>
      <c r="C33" s="119"/>
      <c r="D33" s="119" t="s">
        <v>346</v>
      </c>
      <c r="E33" s="119" t="s">
        <v>123</v>
      </c>
      <c r="F33" s="119" t="s">
        <v>90</v>
      </c>
      <c r="G33" s="119" t="s">
        <v>50</v>
      </c>
      <c r="H33" s="119"/>
      <c r="I33" s="117">
        <v>1480.0</v>
      </c>
      <c r="J33" s="118"/>
      <c r="K33" s="46"/>
      <c r="L33" s="46"/>
      <c r="M33" s="46"/>
      <c r="N33" s="117"/>
      <c r="O33" s="119"/>
      <c r="P33" s="119" t="s">
        <v>195</v>
      </c>
      <c r="Q33" s="120"/>
      <c r="R33" s="193"/>
      <c r="S33" s="194"/>
      <c r="T33" s="195"/>
      <c r="U33" s="195"/>
      <c r="V33" s="195"/>
      <c r="W33" s="195"/>
      <c r="X33" s="195"/>
      <c r="Y33" s="195"/>
      <c r="Z33" s="195"/>
      <c r="AA33" s="195"/>
    </row>
    <row r="34" ht="20.25" customHeight="1">
      <c r="A34" s="192" t="s">
        <v>121</v>
      </c>
      <c r="B34" s="118">
        <v>46127.0</v>
      </c>
      <c r="C34" s="119"/>
      <c r="D34" s="119" t="s">
        <v>347</v>
      </c>
      <c r="E34" s="119" t="s">
        <v>123</v>
      </c>
      <c r="F34" s="119" t="s">
        <v>96</v>
      </c>
      <c r="G34" s="119" t="s">
        <v>50</v>
      </c>
      <c r="H34" s="119"/>
      <c r="I34" s="117">
        <v>280.0</v>
      </c>
      <c r="J34" s="118"/>
      <c r="K34" s="46"/>
      <c r="L34" s="46"/>
      <c r="M34" s="46"/>
      <c r="N34" s="117"/>
      <c r="O34" s="119"/>
      <c r="P34" s="119" t="s">
        <v>119</v>
      </c>
      <c r="Q34" s="120"/>
      <c r="R34" s="193"/>
      <c r="S34" s="194"/>
      <c r="T34" s="195"/>
      <c r="U34" s="195"/>
      <c r="V34" s="195"/>
      <c r="W34" s="195"/>
      <c r="X34" s="195"/>
      <c r="Y34" s="195"/>
      <c r="Z34" s="195"/>
      <c r="AA34" s="195"/>
    </row>
    <row r="35" ht="20.25" customHeight="1">
      <c r="A35" s="192" t="s">
        <v>108</v>
      </c>
      <c r="B35" s="118">
        <v>46127.0</v>
      </c>
      <c r="C35" s="119"/>
      <c r="D35" s="119" t="s">
        <v>348</v>
      </c>
      <c r="E35" s="119" t="s">
        <v>123</v>
      </c>
      <c r="F35" s="119" t="s">
        <v>90</v>
      </c>
      <c r="G35" s="119" t="s">
        <v>50</v>
      </c>
      <c r="H35" s="119"/>
      <c r="I35" s="117">
        <v>1230.0</v>
      </c>
      <c r="J35" s="118"/>
      <c r="K35" s="46"/>
      <c r="L35" s="46"/>
      <c r="M35" s="46"/>
      <c r="N35" s="117"/>
      <c r="O35" s="119"/>
      <c r="P35" s="119"/>
      <c r="Q35" s="120"/>
      <c r="R35" s="193" t="s">
        <v>349</v>
      </c>
      <c r="S35" s="194"/>
      <c r="T35" s="195"/>
      <c r="U35" s="195"/>
      <c r="V35" s="195"/>
      <c r="W35" s="195"/>
      <c r="X35" s="195"/>
      <c r="Y35" s="195"/>
      <c r="Z35" s="195"/>
      <c r="AA35" s="195"/>
    </row>
    <row r="36" ht="20.25" customHeight="1">
      <c r="A36" s="192" t="s">
        <v>121</v>
      </c>
      <c r="B36" s="118">
        <v>46127.0</v>
      </c>
      <c r="C36" s="119"/>
      <c r="D36" s="119" t="s">
        <v>350</v>
      </c>
      <c r="E36" s="119" t="s">
        <v>128</v>
      </c>
      <c r="F36" s="119" t="s">
        <v>90</v>
      </c>
      <c r="G36" s="119" t="s">
        <v>50</v>
      </c>
      <c r="H36" s="119"/>
      <c r="I36" s="117">
        <v>5300.0</v>
      </c>
      <c r="J36" s="118"/>
      <c r="K36" s="46"/>
      <c r="L36" s="46"/>
      <c r="M36" s="46"/>
      <c r="N36" s="117"/>
      <c r="O36" s="119"/>
      <c r="P36" s="119" t="s">
        <v>144</v>
      </c>
      <c r="Q36" s="120"/>
      <c r="R36" s="193"/>
      <c r="S36" s="194"/>
      <c r="T36" s="195"/>
      <c r="U36" s="195"/>
      <c r="V36" s="195"/>
      <c r="W36" s="195"/>
      <c r="X36" s="195"/>
      <c r="Y36" s="195"/>
      <c r="Z36" s="195"/>
      <c r="AA36" s="195"/>
    </row>
    <row r="37" ht="20.25" customHeight="1">
      <c r="A37" s="192" t="s">
        <v>121</v>
      </c>
      <c r="B37" s="118">
        <v>46127.0</v>
      </c>
      <c r="C37" s="119"/>
      <c r="D37" s="119" t="s">
        <v>351</v>
      </c>
      <c r="E37" s="119" t="s">
        <v>126</v>
      </c>
      <c r="F37" s="119" t="s">
        <v>96</v>
      </c>
      <c r="G37" s="119" t="s">
        <v>50</v>
      </c>
      <c r="H37" s="119"/>
      <c r="I37" s="117">
        <v>5000.0</v>
      </c>
      <c r="J37" s="118"/>
      <c r="K37" s="46"/>
      <c r="L37" s="46"/>
      <c r="M37" s="46"/>
      <c r="N37" s="117"/>
      <c r="O37" s="119"/>
      <c r="P37" s="119" t="s">
        <v>158</v>
      </c>
      <c r="Q37" s="120"/>
      <c r="R37" s="193"/>
      <c r="S37" s="194"/>
      <c r="T37" s="195"/>
      <c r="U37" s="195"/>
      <c r="V37" s="195"/>
      <c r="W37" s="195"/>
      <c r="X37" s="195"/>
      <c r="Y37" s="195"/>
      <c r="Z37" s="195"/>
      <c r="AA37" s="195"/>
    </row>
    <row r="38" ht="20.25" customHeight="1">
      <c r="A38" s="192" t="s">
        <v>124</v>
      </c>
      <c r="B38" s="118">
        <v>46127.0</v>
      </c>
      <c r="C38" s="119"/>
      <c r="D38" s="119" t="s">
        <v>352</v>
      </c>
      <c r="E38" s="119" t="s">
        <v>126</v>
      </c>
      <c r="F38" s="119" t="s">
        <v>90</v>
      </c>
      <c r="G38" s="119" t="s">
        <v>50</v>
      </c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93"/>
      <c r="S38" s="194"/>
      <c r="T38" s="195"/>
      <c r="U38" s="195"/>
      <c r="V38" s="195"/>
      <c r="W38" s="195"/>
      <c r="X38" s="195"/>
      <c r="Y38" s="195"/>
      <c r="Z38" s="195"/>
      <c r="AA38" s="195"/>
    </row>
    <row r="39" ht="20.25" customHeight="1">
      <c r="A39" s="192" t="s">
        <v>124</v>
      </c>
      <c r="B39" s="118">
        <v>46127.0</v>
      </c>
      <c r="C39" s="119"/>
      <c r="D39" s="119" t="s">
        <v>353</v>
      </c>
      <c r="E39" s="119" t="s">
        <v>227</v>
      </c>
      <c r="F39" s="119" t="s">
        <v>96</v>
      </c>
      <c r="G39" s="119" t="s">
        <v>49</v>
      </c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93"/>
      <c r="S39" s="194"/>
      <c r="T39" s="195"/>
      <c r="U39" s="195"/>
      <c r="V39" s="195"/>
      <c r="W39" s="195"/>
      <c r="X39" s="195"/>
      <c r="Y39" s="195"/>
      <c r="Z39" s="195"/>
      <c r="AA39" s="195"/>
    </row>
    <row r="40" ht="20.25" customHeight="1">
      <c r="A40" s="192" t="s">
        <v>108</v>
      </c>
      <c r="B40" s="118">
        <v>46127.0</v>
      </c>
      <c r="C40" s="119"/>
      <c r="D40" s="119" t="s">
        <v>354</v>
      </c>
      <c r="E40" s="119" t="s">
        <v>135</v>
      </c>
      <c r="F40" s="119" t="s">
        <v>90</v>
      </c>
      <c r="G40" s="119" t="s">
        <v>50</v>
      </c>
      <c r="H40" s="119"/>
      <c r="I40" s="117">
        <v>3820.0</v>
      </c>
      <c r="J40" s="118"/>
      <c r="K40" s="46"/>
      <c r="L40" s="46"/>
      <c r="M40" s="46"/>
      <c r="N40" s="117"/>
      <c r="O40" s="119"/>
      <c r="P40" s="119"/>
      <c r="Q40" s="120"/>
      <c r="R40" s="193" t="s">
        <v>355</v>
      </c>
      <c r="S40" s="194"/>
      <c r="T40" s="195"/>
      <c r="U40" s="195"/>
      <c r="V40" s="195"/>
      <c r="W40" s="195"/>
      <c r="X40" s="195"/>
      <c r="Y40" s="195"/>
      <c r="Z40" s="195"/>
      <c r="AA40" s="195"/>
    </row>
    <row r="41" ht="20.25" customHeight="1">
      <c r="A41" s="192" t="s">
        <v>121</v>
      </c>
      <c r="B41" s="118">
        <v>46127.0</v>
      </c>
      <c r="C41" s="119"/>
      <c r="D41" s="119" t="s">
        <v>356</v>
      </c>
      <c r="E41" s="119" t="s">
        <v>128</v>
      </c>
      <c r="F41" s="119" t="s">
        <v>90</v>
      </c>
      <c r="G41" s="119" t="s">
        <v>54</v>
      </c>
      <c r="H41" s="119"/>
      <c r="I41" s="117">
        <v>318.0</v>
      </c>
      <c r="J41" s="118"/>
      <c r="K41" s="46"/>
      <c r="L41" s="46"/>
      <c r="M41" s="46"/>
      <c r="N41" s="117"/>
      <c r="O41" s="119"/>
      <c r="P41" s="119" t="s">
        <v>119</v>
      </c>
      <c r="Q41" s="120"/>
      <c r="R41" s="193"/>
      <c r="S41" s="194"/>
      <c r="T41" s="195"/>
      <c r="U41" s="195"/>
      <c r="V41" s="195"/>
      <c r="W41" s="195"/>
      <c r="X41" s="195"/>
      <c r="Y41" s="195"/>
      <c r="Z41" s="195"/>
      <c r="AA41" s="195"/>
    </row>
    <row r="42" ht="20.25" customHeight="1">
      <c r="A42" s="192" t="s">
        <v>108</v>
      </c>
      <c r="B42" s="118">
        <v>46128.0</v>
      </c>
      <c r="C42" s="119"/>
      <c r="D42" s="119" t="s">
        <v>357</v>
      </c>
      <c r="E42" s="119" t="s">
        <v>128</v>
      </c>
      <c r="F42" s="119" t="s">
        <v>96</v>
      </c>
      <c r="G42" s="119" t="s">
        <v>58</v>
      </c>
      <c r="H42" s="119"/>
      <c r="I42" s="117">
        <v>33669.0</v>
      </c>
      <c r="J42" s="118"/>
      <c r="K42" s="46"/>
      <c r="L42" s="46"/>
      <c r="M42" s="46"/>
      <c r="N42" s="117"/>
      <c r="O42" s="119"/>
      <c r="P42" s="119"/>
      <c r="Q42" s="120"/>
      <c r="R42" s="217" t="s">
        <v>358</v>
      </c>
      <c r="S42" s="194"/>
      <c r="T42" s="195"/>
      <c r="U42" s="195"/>
      <c r="V42" s="195"/>
      <c r="W42" s="195"/>
      <c r="X42" s="195"/>
      <c r="Y42" s="195"/>
      <c r="Z42" s="195"/>
      <c r="AA42" s="195"/>
    </row>
    <row r="43" ht="20.25" customHeight="1">
      <c r="A43" s="192" t="s">
        <v>121</v>
      </c>
      <c r="B43" s="118">
        <v>46128.0</v>
      </c>
      <c r="C43" s="119"/>
      <c r="D43" s="119" t="s">
        <v>359</v>
      </c>
      <c r="E43" s="119" t="s">
        <v>113</v>
      </c>
      <c r="F43" s="119" t="s">
        <v>90</v>
      </c>
      <c r="G43" s="119" t="s">
        <v>58</v>
      </c>
      <c r="H43" s="119"/>
      <c r="I43" s="117">
        <v>660.0</v>
      </c>
      <c r="J43" s="118"/>
      <c r="K43" s="46"/>
      <c r="L43" s="46"/>
      <c r="M43" s="46"/>
      <c r="N43" s="117"/>
      <c r="O43" s="119"/>
      <c r="P43" s="119" t="s">
        <v>91</v>
      </c>
      <c r="Q43" s="120"/>
      <c r="R43" s="193"/>
      <c r="S43" s="194"/>
      <c r="T43" s="195"/>
      <c r="U43" s="195"/>
      <c r="V43" s="195"/>
      <c r="W43" s="195"/>
      <c r="X43" s="195"/>
      <c r="Y43" s="195"/>
      <c r="Z43" s="195"/>
      <c r="AA43" s="195"/>
    </row>
    <row r="44" ht="20.25" customHeight="1">
      <c r="A44" s="192" t="s">
        <v>124</v>
      </c>
      <c r="B44" s="118">
        <v>46128.0</v>
      </c>
      <c r="C44" s="119"/>
      <c r="D44" s="119" t="s">
        <v>360</v>
      </c>
      <c r="E44" s="119" t="s">
        <v>113</v>
      </c>
      <c r="F44" s="119" t="s">
        <v>90</v>
      </c>
      <c r="G44" s="119" t="s">
        <v>58</v>
      </c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93"/>
      <c r="S44" s="194"/>
      <c r="T44" s="195"/>
      <c r="U44" s="195"/>
      <c r="V44" s="195"/>
      <c r="W44" s="195"/>
      <c r="X44" s="195"/>
      <c r="Y44" s="195"/>
      <c r="Z44" s="195"/>
      <c r="AA44" s="195"/>
    </row>
    <row r="45" ht="20.25" customHeight="1">
      <c r="A45" s="192" t="s">
        <v>121</v>
      </c>
      <c r="B45" s="118">
        <v>46130.0</v>
      </c>
      <c r="C45" s="119"/>
      <c r="D45" s="119" t="s">
        <v>361</v>
      </c>
      <c r="E45" s="119" t="s">
        <v>362</v>
      </c>
      <c r="F45" s="119" t="s">
        <v>96</v>
      </c>
      <c r="G45" s="119" t="s">
        <v>49</v>
      </c>
      <c r="H45" s="119"/>
      <c r="I45" s="117">
        <v>80.0</v>
      </c>
      <c r="J45" s="118"/>
      <c r="K45" s="46"/>
      <c r="L45" s="46"/>
      <c r="M45" s="46"/>
      <c r="N45" s="117"/>
      <c r="O45" s="119"/>
      <c r="P45" s="119" t="s">
        <v>91</v>
      </c>
      <c r="Q45" s="120"/>
      <c r="R45" s="193"/>
      <c r="S45" s="194"/>
      <c r="T45" s="195"/>
      <c r="U45" s="195"/>
      <c r="V45" s="195"/>
      <c r="W45" s="195"/>
      <c r="X45" s="195"/>
      <c r="Y45" s="195"/>
      <c r="Z45" s="195"/>
      <c r="AA45" s="195"/>
    </row>
    <row r="46" ht="20.25" customHeight="1">
      <c r="A46" s="192" t="s">
        <v>108</v>
      </c>
      <c r="B46" s="118">
        <v>46130.0</v>
      </c>
      <c r="C46" s="119"/>
      <c r="D46" s="196" t="s">
        <v>363</v>
      </c>
      <c r="E46" s="119" t="s">
        <v>362</v>
      </c>
      <c r="F46" s="119" t="s">
        <v>96</v>
      </c>
      <c r="G46" s="119" t="s">
        <v>49</v>
      </c>
      <c r="H46" s="119"/>
      <c r="I46" s="117">
        <v>425.0</v>
      </c>
      <c r="J46" s="118"/>
      <c r="K46" s="46"/>
      <c r="L46" s="46"/>
      <c r="M46" s="46"/>
      <c r="N46" s="117"/>
      <c r="O46" s="119"/>
      <c r="P46" s="119"/>
      <c r="Q46" s="120"/>
      <c r="R46" s="193"/>
      <c r="S46" s="194"/>
      <c r="T46" s="195"/>
      <c r="U46" s="195"/>
      <c r="V46" s="195"/>
      <c r="W46" s="195"/>
      <c r="X46" s="195"/>
      <c r="Y46" s="195"/>
      <c r="Z46" s="195"/>
      <c r="AA46" s="195"/>
    </row>
    <row r="47" ht="20.25" customHeight="1">
      <c r="A47" s="192" t="s">
        <v>108</v>
      </c>
      <c r="B47" s="118">
        <v>46130.0</v>
      </c>
      <c r="C47" s="119"/>
      <c r="D47" s="119" t="s">
        <v>364</v>
      </c>
      <c r="E47" s="119" t="s">
        <v>362</v>
      </c>
      <c r="F47" s="119" t="s">
        <v>96</v>
      </c>
      <c r="G47" s="119" t="s">
        <v>49</v>
      </c>
      <c r="H47" s="119"/>
      <c r="I47" s="117">
        <v>3527.0</v>
      </c>
      <c r="J47" s="118"/>
      <c r="K47" s="46"/>
      <c r="L47" s="46"/>
      <c r="M47" s="46"/>
      <c r="N47" s="117"/>
      <c r="O47" s="119"/>
      <c r="P47" s="119"/>
      <c r="Q47" s="120"/>
      <c r="R47" s="193"/>
      <c r="S47" s="194"/>
      <c r="T47" s="195"/>
      <c r="U47" s="195"/>
      <c r="V47" s="195"/>
      <c r="W47" s="195"/>
      <c r="X47" s="195"/>
      <c r="Y47" s="195"/>
      <c r="Z47" s="195"/>
      <c r="AA47" s="195"/>
    </row>
    <row r="48" ht="20.25" customHeight="1">
      <c r="A48" s="192" t="s">
        <v>108</v>
      </c>
      <c r="B48" s="118">
        <v>46130.0</v>
      </c>
      <c r="C48" s="119"/>
      <c r="D48" s="119" t="s">
        <v>365</v>
      </c>
      <c r="E48" s="119" t="s">
        <v>362</v>
      </c>
      <c r="F48" s="119" t="s">
        <v>96</v>
      </c>
      <c r="G48" s="119" t="s">
        <v>55</v>
      </c>
      <c r="H48" s="119"/>
      <c r="I48" s="117">
        <v>4000.0</v>
      </c>
      <c r="J48" s="118"/>
      <c r="K48" s="46"/>
      <c r="L48" s="46"/>
      <c r="M48" s="46"/>
      <c r="N48" s="117"/>
      <c r="O48" s="119"/>
      <c r="P48" s="119"/>
      <c r="Q48" s="120"/>
      <c r="R48" s="193"/>
      <c r="S48" s="194"/>
      <c r="T48" s="195"/>
      <c r="U48" s="195"/>
      <c r="V48" s="195"/>
      <c r="W48" s="195"/>
      <c r="X48" s="195"/>
      <c r="Y48" s="195"/>
      <c r="Z48" s="195"/>
      <c r="AA48" s="195"/>
    </row>
    <row r="49" ht="20.25" customHeight="1">
      <c r="A49" s="192" t="s">
        <v>124</v>
      </c>
      <c r="B49" s="118">
        <v>46132.0</v>
      </c>
      <c r="C49" s="119"/>
      <c r="D49" s="119" t="s">
        <v>366</v>
      </c>
      <c r="E49" s="119" t="s">
        <v>110</v>
      </c>
      <c r="F49" s="119" t="s">
        <v>90</v>
      </c>
      <c r="G49" s="119" t="s">
        <v>49</v>
      </c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93"/>
      <c r="S49" s="194"/>
      <c r="T49" s="195"/>
      <c r="U49" s="195"/>
      <c r="V49" s="195"/>
      <c r="W49" s="195"/>
      <c r="X49" s="195"/>
      <c r="Y49" s="195"/>
      <c r="Z49" s="195"/>
      <c r="AA49" s="195"/>
    </row>
    <row r="50" ht="20.25" customHeight="1">
      <c r="A50" s="192" t="s">
        <v>124</v>
      </c>
      <c r="B50" s="118">
        <v>46133.0</v>
      </c>
      <c r="C50" s="119"/>
      <c r="D50" s="119" t="s">
        <v>367</v>
      </c>
      <c r="E50" s="119" t="s">
        <v>110</v>
      </c>
      <c r="F50" s="119" t="s">
        <v>90</v>
      </c>
      <c r="G50" s="119" t="s">
        <v>50</v>
      </c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93"/>
      <c r="S50" s="194"/>
      <c r="T50" s="195"/>
      <c r="U50" s="195"/>
      <c r="V50" s="195"/>
      <c r="W50" s="195"/>
      <c r="X50" s="195"/>
      <c r="Y50" s="195"/>
      <c r="Z50" s="195"/>
      <c r="AA50" s="195"/>
    </row>
    <row r="51" ht="20.25" customHeight="1">
      <c r="A51" s="192" t="s">
        <v>121</v>
      </c>
      <c r="B51" s="118">
        <v>46133.0</v>
      </c>
      <c r="C51" s="119"/>
      <c r="D51" s="119" t="s">
        <v>368</v>
      </c>
      <c r="E51" s="119" t="s">
        <v>126</v>
      </c>
      <c r="F51" s="119" t="s">
        <v>96</v>
      </c>
      <c r="G51" s="119" t="s">
        <v>50</v>
      </c>
      <c r="H51" s="119"/>
      <c r="I51" s="117">
        <v>100.0</v>
      </c>
      <c r="J51" s="118"/>
      <c r="K51" s="46"/>
      <c r="L51" s="46"/>
      <c r="M51" s="46"/>
      <c r="N51" s="117"/>
      <c r="O51" s="119"/>
      <c r="P51" s="119" t="s">
        <v>119</v>
      </c>
      <c r="Q51" s="120"/>
      <c r="R51" s="193"/>
      <c r="S51" s="194"/>
      <c r="T51" s="195"/>
      <c r="U51" s="195"/>
      <c r="V51" s="195"/>
      <c r="W51" s="195"/>
      <c r="X51" s="195"/>
      <c r="Y51" s="195"/>
      <c r="Z51" s="195"/>
      <c r="AA51" s="195"/>
    </row>
    <row r="52" ht="20.25" customHeight="1">
      <c r="A52" s="192" t="s">
        <v>121</v>
      </c>
      <c r="B52" s="118">
        <v>46133.0</v>
      </c>
      <c r="C52" s="119"/>
      <c r="D52" s="119" t="s">
        <v>369</v>
      </c>
      <c r="E52" s="119" t="s">
        <v>123</v>
      </c>
      <c r="F52" s="119" t="s">
        <v>96</v>
      </c>
      <c r="G52" s="119" t="s">
        <v>50</v>
      </c>
      <c r="H52" s="119"/>
      <c r="I52" s="117">
        <v>1530.0</v>
      </c>
      <c r="J52" s="118"/>
      <c r="K52" s="46"/>
      <c r="L52" s="46"/>
      <c r="M52" s="46"/>
      <c r="N52" s="117"/>
      <c r="O52" s="119"/>
      <c r="P52" s="119" t="s">
        <v>97</v>
      </c>
      <c r="Q52" s="120"/>
      <c r="R52" s="193"/>
      <c r="S52" s="194"/>
      <c r="T52" s="195"/>
      <c r="U52" s="195"/>
      <c r="V52" s="195"/>
      <c r="W52" s="195"/>
      <c r="X52" s="195"/>
      <c r="Y52" s="195"/>
      <c r="Z52" s="195"/>
      <c r="AA52" s="195"/>
    </row>
    <row r="53" ht="20.25" customHeight="1">
      <c r="A53" s="192" t="s">
        <v>124</v>
      </c>
      <c r="B53" s="118">
        <v>46134.0</v>
      </c>
      <c r="C53" s="119"/>
      <c r="D53" s="119" t="s">
        <v>370</v>
      </c>
      <c r="E53" s="119" t="s">
        <v>371</v>
      </c>
      <c r="F53" s="119" t="s">
        <v>96</v>
      </c>
      <c r="G53" s="119" t="s">
        <v>49</v>
      </c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93"/>
      <c r="S53" s="194"/>
      <c r="T53" s="195"/>
      <c r="U53" s="195"/>
      <c r="V53" s="195"/>
      <c r="W53" s="195"/>
      <c r="X53" s="195"/>
      <c r="Y53" s="195"/>
      <c r="Z53" s="195"/>
      <c r="AA53" s="195"/>
    </row>
    <row r="54" ht="20.25" customHeight="1">
      <c r="A54" s="192" t="s">
        <v>108</v>
      </c>
      <c r="B54" s="118">
        <v>46134.0</v>
      </c>
      <c r="C54" s="119"/>
      <c r="D54" s="119" t="s">
        <v>372</v>
      </c>
      <c r="E54" s="119" t="s">
        <v>135</v>
      </c>
      <c r="F54" s="119" t="s">
        <v>90</v>
      </c>
      <c r="G54" s="119" t="s">
        <v>49</v>
      </c>
      <c r="H54" s="119"/>
      <c r="I54" s="117">
        <v>640.0</v>
      </c>
      <c r="J54" s="118"/>
      <c r="K54" s="46"/>
      <c r="L54" s="46"/>
      <c r="M54" s="46"/>
      <c r="N54" s="117"/>
      <c r="O54" s="119"/>
      <c r="P54" s="119"/>
      <c r="Q54" s="120"/>
      <c r="R54" s="193"/>
      <c r="S54" s="194"/>
      <c r="T54" s="195"/>
      <c r="U54" s="195"/>
      <c r="V54" s="195"/>
      <c r="W54" s="195"/>
      <c r="X54" s="195"/>
      <c r="Y54" s="195"/>
      <c r="Z54" s="195"/>
      <c r="AA54" s="195"/>
    </row>
    <row r="55" ht="20.25" customHeight="1">
      <c r="A55" s="192" t="s">
        <v>108</v>
      </c>
      <c r="B55" s="118">
        <v>46134.0</v>
      </c>
      <c r="C55" s="119"/>
      <c r="D55" s="119" t="s">
        <v>373</v>
      </c>
      <c r="E55" s="119" t="s">
        <v>110</v>
      </c>
      <c r="F55" s="119" t="s">
        <v>90</v>
      </c>
      <c r="G55" s="119" t="s">
        <v>49</v>
      </c>
      <c r="H55" s="119"/>
      <c r="I55" s="117">
        <v>1500.0</v>
      </c>
      <c r="J55" s="118"/>
      <c r="K55" s="46"/>
      <c r="L55" s="46"/>
      <c r="M55" s="46"/>
      <c r="N55" s="117"/>
      <c r="O55" s="119"/>
      <c r="P55" s="119"/>
      <c r="Q55" s="120"/>
      <c r="R55" s="193"/>
      <c r="S55" s="194"/>
      <c r="T55" s="195"/>
      <c r="U55" s="195"/>
      <c r="V55" s="195"/>
      <c r="W55" s="195"/>
      <c r="X55" s="195"/>
      <c r="Y55" s="195"/>
      <c r="Z55" s="195"/>
      <c r="AA55" s="195"/>
    </row>
    <row r="56" ht="20.25" customHeight="1">
      <c r="A56" s="192" t="s">
        <v>121</v>
      </c>
      <c r="B56" s="118">
        <v>46134.0</v>
      </c>
      <c r="C56" s="119"/>
      <c r="D56" s="119" t="s">
        <v>374</v>
      </c>
      <c r="E56" s="119" t="s">
        <v>110</v>
      </c>
      <c r="F56" s="119" t="s">
        <v>90</v>
      </c>
      <c r="G56" s="119" t="s">
        <v>49</v>
      </c>
      <c r="H56" s="119"/>
      <c r="I56" s="117">
        <v>440.0</v>
      </c>
      <c r="J56" s="118"/>
      <c r="K56" s="46"/>
      <c r="L56" s="46"/>
      <c r="M56" s="46"/>
      <c r="N56" s="117"/>
      <c r="O56" s="119"/>
      <c r="P56" s="119" t="s">
        <v>195</v>
      </c>
      <c r="Q56" s="120"/>
      <c r="R56" s="193"/>
      <c r="S56" s="194"/>
      <c r="T56" s="195"/>
      <c r="U56" s="195"/>
      <c r="V56" s="195"/>
      <c r="W56" s="195"/>
      <c r="X56" s="195"/>
      <c r="Y56" s="195"/>
      <c r="Z56" s="195"/>
      <c r="AA56" s="195"/>
    </row>
    <row r="57" ht="20.25" customHeight="1">
      <c r="A57" s="192" t="s">
        <v>108</v>
      </c>
      <c r="B57" s="118">
        <v>46135.0</v>
      </c>
      <c r="C57" s="119"/>
      <c r="D57" s="119" t="s">
        <v>375</v>
      </c>
      <c r="E57" s="119" t="s">
        <v>110</v>
      </c>
      <c r="F57" s="119" t="s">
        <v>96</v>
      </c>
      <c r="G57" s="119" t="s">
        <v>58</v>
      </c>
      <c r="H57" s="119"/>
      <c r="I57" s="117">
        <v>2430.0</v>
      </c>
      <c r="J57" s="118"/>
      <c r="K57" s="46"/>
      <c r="L57" s="46"/>
      <c r="M57" s="46"/>
      <c r="N57" s="117"/>
      <c r="O57" s="119"/>
      <c r="P57" s="119"/>
      <c r="Q57" s="120"/>
      <c r="R57" s="193" t="s">
        <v>376</v>
      </c>
      <c r="S57" s="194"/>
      <c r="T57" s="195"/>
      <c r="U57" s="195"/>
      <c r="V57" s="195"/>
      <c r="W57" s="195"/>
      <c r="X57" s="195"/>
      <c r="Y57" s="195"/>
      <c r="Z57" s="195"/>
      <c r="AA57" s="195"/>
    </row>
    <row r="58" ht="20.25" customHeight="1">
      <c r="A58" s="192" t="s">
        <v>121</v>
      </c>
      <c r="B58" s="118">
        <v>46135.0</v>
      </c>
      <c r="C58" s="119"/>
      <c r="D58" s="119" t="s">
        <v>377</v>
      </c>
      <c r="E58" s="119" t="s">
        <v>227</v>
      </c>
      <c r="F58" s="119" t="s">
        <v>96</v>
      </c>
      <c r="G58" s="119" t="s">
        <v>55</v>
      </c>
      <c r="H58" s="119"/>
      <c r="I58" s="117">
        <v>2921.0</v>
      </c>
      <c r="J58" s="118"/>
      <c r="K58" s="46"/>
      <c r="L58" s="46"/>
      <c r="M58" s="46"/>
      <c r="N58" s="117"/>
      <c r="O58" s="119"/>
      <c r="P58" s="119" t="s">
        <v>91</v>
      </c>
      <c r="Q58" s="120"/>
      <c r="R58" s="193"/>
      <c r="S58" s="194"/>
      <c r="T58" s="195"/>
      <c r="U58" s="195"/>
      <c r="V58" s="195"/>
      <c r="W58" s="195"/>
      <c r="X58" s="195"/>
      <c r="Y58" s="195"/>
      <c r="Z58" s="195"/>
      <c r="AA58" s="195"/>
    </row>
    <row r="59" ht="20.25" customHeight="1">
      <c r="A59" s="192" t="s">
        <v>121</v>
      </c>
      <c r="B59" s="118">
        <v>46135.0</v>
      </c>
      <c r="C59" s="119"/>
      <c r="D59" s="119" t="s">
        <v>378</v>
      </c>
      <c r="E59" s="119" t="s">
        <v>227</v>
      </c>
      <c r="F59" s="119" t="s">
        <v>90</v>
      </c>
      <c r="G59" s="119" t="s">
        <v>55</v>
      </c>
      <c r="H59" s="119"/>
      <c r="I59" s="117">
        <v>1270.0</v>
      </c>
      <c r="J59" s="118"/>
      <c r="K59" s="46"/>
      <c r="L59" s="46"/>
      <c r="M59" s="46"/>
      <c r="N59" s="117"/>
      <c r="O59" s="119"/>
      <c r="P59" s="119" t="s">
        <v>91</v>
      </c>
      <c r="Q59" s="120"/>
      <c r="R59" s="193"/>
      <c r="S59" s="194"/>
      <c r="T59" s="195"/>
      <c r="U59" s="195"/>
      <c r="V59" s="195"/>
      <c r="W59" s="195"/>
      <c r="X59" s="195"/>
      <c r="Y59" s="195"/>
      <c r="Z59" s="195"/>
      <c r="AA59" s="195"/>
    </row>
    <row r="60" ht="20.25" customHeight="1">
      <c r="A60" s="192" t="s">
        <v>121</v>
      </c>
      <c r="B60" s="118">
        <v>46140.0</v>
      </c>
      <c r="C60" s="119"/>
      <c r="D60" s="119" t="s">
        <v>379</v>
      </c>
      <c r="E60" s="119" t="s">
        <v>123</v>
      </c>
      <c r="F60" s="119" t="s">
        <v>90</v>
      </c>
      <c r="G60" s="119" t="s">
        <v>50</v>
      </c>
      <c r="H60" s="119"/>
      <c r="I60" s="117">
        <v>180.0</v>
      </c>
      <c r="J60" s="118"/>
      <c r="K60" s="46"/>
      <c r="L60" s="46"/>
      <c r="M60" s="46"/>
      <c r="N60" s="117"/>
      <c r="O60" s="119"/>
      <c r="P60" s="119" t="s">
        <v>119</v>
      </c>
      <c r="Q60" s="120"/>
      <c r="R60" s="193"/>
      <c r="S60" s="194"/>
      <c r="T60" s="195"/>
      <c r="U60" s="195"/>
      <c r="V60" s="195"/>
      <c r="W60" s="195"/>
      <c r="X60" s="195"/>
      <c r="Y60" s="195"/>
      <c r="Z60" s="195"/>
      <c r="AA60" s="195"/>
    </row>
    <row r="61" ht="20.25" customHeight="1">
      <c r="A61" s="192" t="s">
        <v>121</v>
      </c>
      <c r="B61" s="118">
        <v>46141.0</v>
      </c>
      <c r="C61" s="119"/>
      <c r="D61" s="119" t="s">
        <v>380</v>
      </c>
      <c r="E61" s="119" t="s">
        <v>123</v>
      </c>
      <c r="F61" s="119" t="s">
        <v>90</v>
      </c>
      <c r="G61" s="119" t="s">
        <v>50</v>
      </c>
      <c r="H61" s="119"/>
      <c r="I61" s="117">
        <v>280.0</v>
      </c>
      <c r="J61" s="118"/>
      <c r="K61" s="46"/>
      <c r="L61" s="46"/>
      <c r="M61" s="46"/>
      <c r="N61" s="117"/>
      <c r="O61" s="119"/>
      <c r="P61" s="119" t="s">
        <v>119</v>
      </c>
      <c r="Q61" s="120"/>
      <c r="R61" s="193"/>
      <c r="S61" s="194"/>
      <c r="T61" s="195"/>
      <c r="U61" s="195"/>
      <c r="V61" s="195"/>
      <c r="W61" s="195"/>
      <c r="X61" s="195"/>
      <c r="Y61" s="195"/>
      <c r="Z61" s="195"/>
      <c r="AA61" s="195"/>
    </row>
    <row r="62" ht="20.25" customHeight="1">
      <c r="A62" s="192" t="s">
        <v>108</v>
      </c>
      <c r="B62" s="118">
        <v>46141.0</v>
      </c>
      <c r="C62" s="119"/>
      <c r="D62" s="119" t="s">
        <v>339</v>
      </c>
      <c r="E62" s="119" t="s">
        <v>128</v>
      </c>
      <c r="F62" s="119" t="s">
        <v>96</v>
      </c>
      <c r="G62" s="119" t="s">
        <v>49</v>
      </c>
      <c r="H62" s="119"/>
      <c r="I62" s="117">
        <v>4949.0</v>
      </c>
      <c r="J62" s="118"/>
      <c r="K62" s="46"/>
      <c r="L62" s="46"/>
      <c r="M62" s="46"/>
      <c r="N62" s="117"/>
      <c r="O62" s="119"/>
      <c r="P62" s="119"/>
      <c r="Q62" s="120"/>
      <c r="R62" s="193"/>
      <c r="S62" s="194"/>
      <c r="T62" s="195"/>
      <c r="U62" s="195"/>
      <c r="V62" s="195"/>
      <c r="W62" s="195"/>
      <c r="X62" s="195"/>
      <c r="Y62" s="195"/>
      <c r="Z62" s="195"/>
      <c r="AA62" s="195"/>
    </row>
    <row r="63" ht="20.25" customHeight="1">
      <c r="A63" s="19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93"/>
      <c r="S63" s="194"/>
      <c r="T63" s="195"/>
      <c r="U63" s="195"/>
      <c r="V63" s="195"/>
      <c r="W63" s="195"/>
      <c r="X63" s="195"/>
      <c r="Y63" s="195"/>
      <c r="Z63" s="195"/>
      <c r="AA63" s="195"/>
    </row>
    <row r="64" ht="20.25" customHeight="1">
      <c r="A64" s="19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93"/>
      <c r="S64" s="194"/>
      <c r="T64" s="195"/>
      <c r="U64" s="195"/>
      <c r="V64" s="195"/>
      <c r="W64" s="195"/>
      <c r="X64" s="195"/>
      <c r="Y64" s="195"/>
      <c r="Z64" s="195"/>
      <c r="AA64" s="195"/>
    </row>
    <row r="65" ht="20.25" customHeight="1">
      <c r="A65" s="19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93"/>
      <c r="S65" s="194"/>
      <c r="T65" s="195"/>
      <c r="U65" s="195"/>
      <c r="V65" s="195"/>
      <c r="W65" s="195"/>
      <c r="X65" s="195"/>
      <c r="Y65" s="195"/>
      <c r="Z65" s="195"/>
      <c r="AA65" s="195"/>
    </row>
    <row r="66" ht="20.25" customHeight="1">
      <c r="A66" s="19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93"/>
      <c r="S66" s="194"/>
      <c r="T66" s="195"/>
      <c r="U66" s="195"/>
      <c r="V66" s="195"/>
      <c r="W66" s="195"/>
      <c r="X66" s="195"/>
      <c r="Y66" s="195"/>
      <c r="Z66" s="195"/>
      <c r="AA66" s="195"/>
    </row>
    <row r="67" ht="20.25" customHeight="1">
      <c r="A67" s="19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93"/>
      <c r="S67" s="194"/>
      <c r="T67" s="195"/>
      <c r="U67" s="195"/>
      <c r="V67" s="195"/>
      <c r="W67" s="195"/>
      <c r="X67" s="195"/>
      <c r="Y67" s="195"/>
      <c r="Z67" s="195"/>
      <c r="AA67" s="195"/>
    </row>
    <row r="68" ht="20.25" customHeight="1">
      <c r="A68" s="19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93"/>
      <c r="S68" s="194"/>
      <c r="T68" s="195"/>
      <c r="U68" s="195"/>
      <c r="V68" s="195"/>
      <c r="W68" s="195"/>
      <c r="X68" s="195"/>
      <c r="Y68" s="195"/>
      <c r="Z68" s="195"/>
      <c r="AA68" s="195"/>
    </row>
    <row r="69" ht="20.25" customHeight="1">
      <c r="A69" s="19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93"/>
      <c r="S69" s="194"/>
      <c r="T69" s="195"/>
      <c r="U69" s="195"/>
      <c r="V69" s="195"/>
      <c r="W69" s="195"/>
      <c r="X69" s="195"/>
      <c r="Y69" s="195"/>
      <c r="Z69" s="195"/>
      <c r="AA69" s="195"/>
    </row>
    <row r="70" ht="20.25" customHeight="1">
      <c r="A70" s="19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93"/>
      <c r="S70" s="194"/>
      <c r="T70" s="195"/>
      <c r="U70" s="195"/>
      <c r="V70" s="195"/>
      <c r="W70" s="195"/>
      <c r="X70" s="195"/>
      <c r="Y70" s="195"/>
      <c r="Z70" s="195"/>
      <c r="AA70" s="195"/>
    </row>
    <row r="71" ht="20.25" customHeight="1">
      <c r="A71" s="19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93"/>
      <c r="S71" s="194"/>
      <c r="T71" s="195"/>
      <c r="U71" s="195"/>
      <c r="V71" s="195"/>
      <c r="W71" s="195"/>
      <c r="X71" s="195"/>
      <c r="Y71" s="195"/>
      <c r="Z71" s="195"/>
      <c r="AA71" s="195"/>
    </row>
    <row r="72" ht="20.25" customHeight="1">
      <c r="A72" s="19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93"/>
      <c r="S72" s="194"/>
      <c r="T72" s="195"/>
      <c r="U72" s="195"/>
      <c r="V72" s="195"/>
      <c r="W72" s="195"/>
      <c r="X72" s="195"/>
      <c r="Y72" s="195"/>
      <c r="Z72" s="195"/>
      <c r="AA72" s="195"/>
    </row>
    <row r="73" ht="20.25" customHeight="1">
      <c r="A73" s="19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93"/>
      <c r="S73" s="194"/>
      <c r="T73" s="195"/>
      <c r="U73" s="195"/>
      <c r="V73" s="195"/>
      <c r="W73" s="195"/>
      <c r="X73" s="195"/>
      <c r="Y73" s="195"/>
      <c r="Z73" s="195"/>
      <c r="AA73" s="195"/>
    </row>
    <row r="74" ht="20.25" customHeight="1">
      <c r="A74" s="19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93"/>
      <c r="S74" s="194"/>
      <c r="T74" s="195"/>
      <c r="U74" s="195"/>
      <c r="V74" s="195"/>
      <c r="W74" s="195"/>
      <c r="X74" s="195"/>
      <c r="Y74" s="195"/>
      <c r="Z74" s="195"/>
      <c r="AA74" s="195"/>
    </row>
    <row r="75" ht="20.25" customHeight="1">
      <c r="A75" s="19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93"/>
      <c r="S75" s="194"/>
      <c r="T75" s="195"/>
      <c r="U75" s="195"/>
      <c r="V75" s="195"/>
      <c r="W75" s="195"/>
      <c r="X75" s="195"/>
      <c r="Y75" s="195"/>
      <c r="Z75" s="195"/>
      <c r="AA75" s="195"/>
    </row>
    <row r="76" ht="20.25" customHeight="1">
      <c r="A76" s="19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93"/>
      <c r="S76" s="194"/>
      <c r="T76" s="195"/>
      <c r="U76" s="195"/>
      <c r="V76" s="195"/>
      <c r="W76" s="195"/>
      <c r="X76" s="195"/>
      <c r="Y76" s="195"/>
      <c r="Z76" s="195"/>
      <c r="AA76" s="195"/>
    </row>
    <row r="77" ht="20.25" customHeight="1">
      <c r="A77" s="19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93"/>
      <c r="S77" s="194"/>
      <c r="T77" s="195"/>
      <c r="U77" s="195"/>
      <c r="V77" s="195"/>
      <c r="W77" s="195"/>
      <c r="X77" s="195"/>
      <c r="Y77" s="195"/>
      <c r="Z77" s="195"/>
      <c r="AA77" s="195"/>
    </row>
    <row r="78" ht="20.25" customHeight="1">
      <c r="A78" s="19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93"/>
      <c r="S78" s="194"/>
      <c r="T78" s="195"/>
      <c r="U78" s="195"/>
      <c r="V78" s="195"/>
      <c r="W78" s="195"/>
      <c r="X78" s="195"/>
      <c r="Y78" s="195"/>
      <c r="Z78" s="195"/>
      <c r="AA78" s="195"/>
    </row>
    <row r="79" ht="20.25" customHeight="1">
      <c r="A79" s="19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93"/>
      <c r="S79" s="194"/>
      <c r="T79" s="195"/>
      <c r="U79" s="195"/>
      <c r="V79" s="195"/>
      <c r="W79" s="195"/>
      <c r="X79" s="195"/>
      <c r="Y79" s="195"/>
      <c r="Z79" s="195"/>
      <c r="AA79" s="195"/>
    </row>
    <row r="80" ht="20.25" customHeight="1">
      <c r="A80" s="19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93"/>
      <c r="S80" s="194"/>
      <c r="T80" s="195"/>
      <c r="U80" s="195"/>
      <c r="V80" s="195"/>
      <c r="W80" s="195"/>
      <c r="X80" s="195"/>
      <c r="Y80" s="195"/>
      <c r="Z80" s="195"/>
      <c r="AA80" s="19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B11">
    <cfRule type="expression" dxfId="20" priority="1">
      <formula>$B11="ESEGUITO"</formula>
    </cfRule>
  </conditionalFormatting>
  <conditionalFormatting sqref="B11">
    <cfRule type="expression" dxfId="10" priority="2">
      <formula>$B11="NON ESEGUITO"</formula>
    </cfRule>
  </conditionalFormatting>
  <conditionalFormatting sqref="B11">
    <cfRule type="expression" dxfId="19" priority="3">
      <formula>$B11="IN ATTESA"</formula>
    </cfRule>
  </conditionalFormatting>
  <conditionalFormatting sqref="C11:C80 E11:E80 G11:G80">
    <cfRule type="expression" dxfId="10" priority="4">
      <formula>$A11="NESSUNA VENDITA"</formula>
    </cfRule>
  </conditionalFormatting>
  <conditionalFormatting sqref="A11:AA80">
    <cfRule type="expression" dxfId="8" priority="5">
      <formula>$A11="APPUNTAMENTO PER INZIARE TRATTAMENTO=PAGAMENTO/DOCUMENTAZIONE"</formula>
    </cfRule>
  </conditionalFormatting>
  <conditionalFormatting sqref="A11:AA80">
    <cfRule type="expression" dxfId="9" priority="6">
      <formula>$A11="IN ATTESA OK ANESTESISTI MALGRATE"</formula>
    </cfRule>
  </conditionalFormatting>
  <conditionalFormatting sqref="A11:AA80">
    <cfRule type="expression" dxfId="11" priority="7">
      <formula>$A11="RICHIAMERA' / RICHIAMARE"</formula>
    </cfRule>
  </conditionalFormatting>
  <conditionalFormatting sqref="A11:AA80">
    <cfRule type="expression" dxfId="18" priority="8">
      <formula>$A11="INZIA IL TRATTAMENTO-VENDITA"</formula>
    </cfRule>
  </conditionalFormatting>
  <conditionalFormatting sqref="A11:AA80">
    <cfRule type="expression" dxfId="8" priority="9">
      <formula>$A11="ATTESA DOCUMENTAZIONE"</formula>
    </cfRule>
  </conditionalFormatting>
  <conditionalFormatting sqref="A11:AA80">
    <cfRule type="expression" dxfId="13" priority="10">
      <formula>$A11="NESSUNA VENDITA"</formula>
    </cfRule>
  </conditionalFormatting>
  <conditionalFormatting sqref="P8">
    <cfRule type="notContainsBlanks" dxfId="17" priority="11">
      <formula>LEN(TRIM(P8))&gt;0</formula>
    </cfRule>
  </conditionalFormatting>
  <conditionalFormatting sqref="A11:AA80">
    <cfRule type="expression" dxfId="14" priority="12">
      <formula>$A11="PAZIENTE SANO"</formula>
    </cfRule>
  </conditionalFormatting>
  <conditionalFormatting sqref="A11:AA80">
    <cfRule type="expression" dxfId="9" priority="13">
      <formula>$A11="ATTESA OK ANESTESISTI"</formula>
    </cfRule>
  </conditionalFormatting>
  <conditionalFormatting sqref="A11:AA80">
    <cfRule type="expression" dxfId="15" priority="14">
      <formula>$A11="NON SI PRESENTA ALL'APPUNTAMENTO"</formula>
    </cfRule>
  </conditionalFormatting>
  <conditionalFormatting sqref="A11:AA80">
    <cfRule type="expression" dxfId="16" priority="15">
      <formula>$A11="CONSULTO COMMERCIALE/CLINICO"</formula>
    </cfRule>
  </conditionalFormatting>
  <dataValidations>
    <dataValidation type="list" allowBlank="1" showErrorMessage="1" sqref="C11:C80">
      <formula1>'Elenco Dip Sedi'!$D$5:$D$32</formula1>
    </dataValidation>
    <dataValidation type="list" allowBlank="1" showErrorMessage="1" sqref="O15:O80">
      <formula1>"x PRESTAZIONE,ACC + DILAZIONE,DILAZIONATO, ELYGHT,UNICO,PAGODIL"</formula1>
    </dataValidation>
    <dataValidation type="list" allowBlank="1" showErrorMessage="1" sqref="G11:G80">
      <formula1>'Elenco Dip Sedi'!$C$5:$C$32</formula1>
    </dataValidation>
    <dataValidation type="list" allowBlank="1" showErrorMessage="1" sqref="P11:P80">
      <formula1>'Elenco Dip Sedi'!$K$5:$K$32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E11:E80">
      <formula1>'Elenco Dip Sedi'!$N$5:$N$32</formula1>
    </dataValidation>
    <dataValidation type="list" allowBlank="1" showErrorMessage="1" sqref="F11:F80">
      <formula1>"M,F"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3.2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57"/>
      <c r="D1" s="156" t="s">
        <v>66</v>
      </c>
      <c r="E1" s="157" t="s">
        <v>67</v>
      </c>
      <c r="F1" s="53"/>
      <c r="G1" s="158" t="s">
        <v>103</v>
      </c>
      <c r="H1" s="159"/>
      <c r="I1" s="55"/>
      <c r="J1" s="56"/>
      <c r="L1" s="56"/>
      <c r="M1" s="57"/>
      <c r="N1" s="58"/>
      <c r="O1" s="59"/>
      <c r="P1" s="60"/>
      <c r="Q1" s="61"/>
    </row>
    <row r="2" ht="20.25" customHeight="1">
      <c r="D2" s="160"/>
      <c r="E2" s="160"/>
      <c r="F2" s="53"/>
      <c r="G2" s="161"/>
      <c r="H2" s="162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63"/>
      <c r="E3" s="164"/>
      <c r="F3" s="53"/>
      <c r="G3" s="57"/>
      <c r="H3" s="57"/>
      <c r="I3" s="70"/>
      <c r="J3" s="165"/>
      <c r="K3" s="165"/>
      <c r="L3" s="165"/>
      <c r="M3" s="166"/>
      <c r="N3" s="167"/>
      <c r="O3" s="72"/>
      <c r="P3" s="69"/>
      <c r="Q3" s="61"/>
    </row>
    <row r="4" ht="21.0" customHeight="1">
      <c r="D4" s="168"/>
      <c r="E4" s="169"/>
      <c r="F4" s="84"/>
      <c r="G4" s="84"/>
      <c r="H4" s="84"/>
      <c r="I4" s="170"/>
      <c r="J4" s="171"/>
      <c r="K4" s="171"/>
      <c r="L4" s="171"/>
      <c r="M4" s="78"/>
      <c r="N4" s="89"/>
      <c r="O4" s="172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73"/>
      <c r="E5" s="174"/>
      <c r="F5" s="175"/>
      <c r="G5" s="176"/>
      <c r="H5" s="177"/>
      <c r="I5" s="178"/>
      <c r="J5" s="179" t="s">
        <v>104</v>
      </c>
      <c r="L5" s="180"/>
      <c r="M5" s="181"/>
      <c r="N5" s="182"/>
      <c r="O5" s="183"/>
      <c r="P5" s="184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99"/>
      <c r="E6" s="77"/>
      <c r="F6" s="76"/>
      <c r="G6" s="77"/>
      <c r="H6" s="78"/>
      <c r="I6" s="80" t="s">
        <v>105</v>
      </c>
      <c r="L6" s="186">
        <f>SUMIF(A11:A143,"INZIA IL TRATTAMENTO-VENDITA", I11:I143)</f>
        <v>48870</v>
      </c>
      <c r="M6" s="187"/>
      <c r="O6" s="82"/>
      <c r="P6" s="18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89" t="s">
        <v>106</v>
      </c>
      <c r="K7" s="78"/>
      <c r="L7" s="190">
        <f>L6+SUMIFS('OPPORTUNITA DI VENDITA'!J198:J513,'OPPORTUNITA DI VENDITA'!C198:C513, "&gt;=01/05/2026", 'OPPORTUNITA DI VENDITA'!C198:C513, "&lt;=31/05/2026",'OPPORTUNITA DI VENDITA'!B198:B513,"ESEGUITO")</f>
        <v>59450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105" t="s">
        <v>107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91"/>
      <c r="C10" s="191"/>
      <c r="D10" s="191"/>
      <c r="E10" s="191"/>
      <c r="F10" s="114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0.25" customHeight="1">
      <c r="A11" s="192" t="s">
        <v>121</v>
      </c>
      <c r="B11" s="118">
        <v>46147.0</v>
      </c>
      <c r="C11" s="119"/>
      <c r="D11" s="119" t="s">
        <v>381</v>
      </c>
      <c r="E11" s="119" t="s">
        <v>126</v>
      </c>
      <c r="F11" s="119" t="s">
        <v>90</v>
      </c>
      <c r="G11" s="119" t="s">
        <v>50</v>
      </c>
      <c r="H11" s="119"/>
      <c r="I11" s="117">
        <v>800.0</v>
      </c>
      <c r="J11" s="118"/>
      <c r="K11" s="46"/>
      <c r="L11" s="46"/>
      <c r="M11" s="46"/>
      <c r="N11" s="117"/>
      <c r="O11" s="119"/>
      <c r="P11" s="119" t="s">
        <v>119</v>
      </c>
      <c r="Q11" s="120"/>
      <c r="R11" s="193"/>
      <c r="S11" s="194"/>
      <c r="T11" s="195"/>
      <c r="U11" s="195"/>
      <c r="V11" s="195"/>
      <c r="W11" s="195"/>
      <c r="X11" s="195"/>
      <c r="Y11" s="195"/>
      <c r="Z11" s="195"/>
      <c r="AA11" s="195"/>
    </row>
    <row r="12" ht="20.25" customHeight="1">
      <c r="A12" s="192" t="s">
        <v>121</v>
      </c>
      <c r="B12" s="118">
        <v>46147.0</v>
      </c>
      <c r="C12" s="119"/>
      <c r="D12" s="119" t="s">
        <v>382</v>
      </c>
      <c r="E12" s="119" t="s">
        <v>135</v>
      </c>
      <c r="F12" s="119" t="s">
        <v>96</v>
      </c>
      <c r="G12" s="119" t="s">
        <v>50</v>
      </c>
      <c r="H12" s="119"/>
      <c r="I12" s="117">
        <v>80.0</v>
      </c>
      <c r="J12" s="118"/>
      <c r="K12" s="46"/>
      <c r="L12" s="46"/>
      <c r="M12" s="46"/>
      <c r="N12" s="117"/>
      <c r="O12" s="119"/>
      <c r="P12" s="119" t="s">
        <v>119</v>
      </c>
      <c r="Q12" s="120"/>
      <c r="R12" s="193"/>
      <c r="S12" s="194"/>
      <c r="T12" s="195"/>
      <c r="U12" s="195"/>
      <c r="V12" s="195"/>
      <c r="W12" s="195"/>
      <c r="X12" s="195"/>
      <c r="Y12" s="195"/>
      <c r="Z12" s="195"/>
      <c r="AA12" s="195"/>
    </row>
    <row r="13" ht="20.25" customHeight="1">
      <c r="A13" s="192" t="s">
        <v>121</v>
      </c>
      <c r="B13" s="118">
        <v>46147.0</v>
      </c>
      <c r="C13" s="119"/>
      <c r="D13" s="119" t="s">
        <v>383</v>
      </c>
      <c r="E13" s="119" t="s">
        <v>123</v>
      </c>
      <c r="F13" s="119" t="s">
        <v>90</v>
      </c>
      <c r="G13" s="119" t="s">
        <v>50</v>
      </c>
      <c r="H13" s="119"/>
      <c r="I13" s="117">
        <v>330.0</v>
      </c>
      <c r="J13" s="118"/>
      <c r="K13" s="46"/>
      <c r="L13" s="46"/>
      <c r="M13" s="46"/>
      <c r="N13" s="117"/>
      <c r="O13" s="119"/>
      <c r="P13" s="119" t="s">
        <v>119</v>
      </c>
      <c r="Q13" s="120"/>
      <c r="R13" s="193"/>
      <c r="S13" s="194"/>
      <c r="T13" s="195"/>
      <c r="U13" s="195"/>
      <c r="V13" s="195"/>
      <c r="W13" s="195"/>
      <c r="X13" s="195"/>
      <c r="Y13" s="195"/>
      <c r="Z13" s="195"/>
      <c r="AA13" s="195"/>
    </row>
    <row r="14" ht="20.25" customHeight="1">
      <c r="A14" s="192" t="s">
        <v>234</v>
      </c>
      <c r="B14" s="118">
        <v>46148.0</v>
      </c>
      <c r="C14" s="119"/>
      <c r="D14" s="119" t="s">
        <v>384</v>
      </c>
      <c r="E14" s="119" t="s">
        <v>126</v>
      </c>
      <c r="F14" s="119" t="s">
        <v>90</v>
      </c>
      <c r="G14" s="119" t="s">
        <v>50</v>
      </c>
      <c r="H14" s="119"/>
      <c r="I14" s="117">
        <v>9810.0</v>
      </c>
      <c r="J14" s="118"/>
      <c r="K14" s="46"/>
      <c r="L14" s="46"/>
      <c r="M14" s="46"/>
      <c r="N14" s="117"/>
      <c r="O14" s="119"/>
      <c r="P14" s="119"/>
      <c r="Q14" s="120"/>
      <c r="R14" s="193"/>
      <c r="S14" s="194"/>
      <c r="T14" s="195"/>
      <c r="U14" s="195"/>
      <c r="V14" s="195"/>
      <c r="W14" s="195"/>
      <c r="X14" s="195"/>
      <c r="Y14" s="195"/>
      <c r="Z14" s="195"/>
      <c r="AA14" s="195"/>
    </row>
    <row r="15" ht="20.25" customHeight="1">
      <c r="A15" s="192" t="s">
        <v>121</v>
      </c>
      <c r="B15" s="118">
        <v>46148.0</v>
      </c>
      <c r="C15" s="119"/>
      <c r="D15" s="119" t="s">
        <v>385</v>
      </c>
      <c r="E15" s="119" t="s">
        <v>128</v>
      </c>
      <c r="F15" s="119" t="s">
        <v>90</v>
      </c>
      <c r="G15" s="119" t="s">
        <v>49</v>
      </c>
      <c r="H15" s="119"/>
      <c r="I15" s="117">
        <v>380.0</v>
      </c>
      <c r="J15" s="118"/>
      <c r="K15" s="46"/>
      <c r="L15" s="46"/>
      <c r="M15" s="46"/>
      <c r="N15" s="117"/>
      <c r="O15" s="119"/>
      <c r="P15" s="119" t="s">
        <v>195</v>
      </c>
      <c r="Q15" s="120"/>
      <c r="R15" s="193"/>
      <c r="S15" s="194"/>
      <c r="T15" s="195"/>
      <c r="U15" s="195"/>
      <c r="V15" s="195"/>
      <c r="W15" s="195"/>
      <c r="X15" s="195"/>
      <c r="Y15" s="195"/>
      <c r="Z15" s="195"/>
      <c r="AA15" s="195"/>
    </row>
    <row r="16" ht="20.25" customHeight="1">
      <c r="A16" s="192" t="s">
        <v>124</v>
      </c>
      <c r="B16" s="118">
        <v>46148.0</v>
      </c>
      <c r="C16" s="119"/>
      <c r="D16" s="119" t="s">
        <v>386</v>
      </c>
      <c r="E16" s="119" t="s">
        <v>126</v>
      </c>
      <c r="F16" s="119" t="s">
        <v>96</v>
      </c>
      <c r="G16" s="119" t="s">
        <v>50</v>
      </c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93"/>
      <c r="S16" s="194"/>
      <c r="T16" s="195"/>
      <c r="U16" s="195"/>
      <c r="V16" s="195"/>
      <c r="W16" s="195"/>
      <c r="X16" s="195"/>
      <c r="Y16" s="195"/>
      <c r="Z16" s="195"/>
      <c r="AA16" s="195"/>
    </row>
    <row r="17" ht="20.25" customHeight="1">
      <c r="A17" s="192" t="s">
        <v>124</v>
      </c>
      <c r="B17" s="118">
        <v>46148.0</v>
      </c>
      <c r="C17" s="119"/>
      <c r="D17" s="119" t="s">
        <v>387</v>
      </c>
      <c r="E17" s="119" t="s">
        <v>126</v>
      </c>
      <c r="F17" s="119" t="s">
        <v>90</v>
      </c>
      <c r="G17" s="119" t="s">
        <v>50</v>
      </c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93"/>
      <c r="S17" s="194"/>
      <c r="T17" s="195"/>
      <c r="U17" s="195"/>
      <c r="V17" s="195"/>
      <c r="W17" s="195"/>
      <c r="X17" s="195"/>
      <c r="Y17" s="195"/>
      <c r="Z17" s="195"/>
      <c r="AA17" s="195"/>
    </row>
    <row r="18" ht="20.25" customHeight="1">
      <c r="A18" s="192" t="s">
        <v>121</v>
      </c>
      <c r="B18" s="118">
        <v>46149.0</v>
      </c>
      <c r="C18" s="119"/>
      <c r="D18" s="119" t="s">
        <v>388</v>
      </c>
      <c r="E18" s="119" t="s">
        <v>110</v>
      </c>
      <c r="F18" s="119" t="s">
        <v>90</v>
      </c>
      <c r="G18" s="119" t="s">
        <v>57</v>
      </c>
      <c r="H18" s="119"/>
      <c r="I18" s="117">
        <v>1781.0</v>
      </c>
      <c r="J18" s="118"/>
      <c r="K18" s="46"/>
      <c r="L18" s="46"/>
      <c r="M18" s="46"/>
      <c r="N18" s="117"/>
      <c r="O18" s="119"/>
      <c r="P18" s="119"/>
      <c r="Q18" s="120"/>
      <c r="R18" s="193"/>
      <c r="S18" s="194"/>
      <c r="T18" s="195"/>
      <c r="U18" s="195"/>
      <c r="V18" s="195"/>
      <c r="W18" s="195"/>
      <c r="X18" s="195"/>
      <c r="Y18" s="195"/>
      <c r="Z18" s="195"/>
      <c r="AA18" s="195"/>
    </row>
    <row r="19" ht="20.25" customHeight="1">
      <c r="A19" s="192" t="s">
        <v>234</v>
      </c>
      <c r="B19" s="118">
        <v>46149.0</v>
      </c>
      <c r="C19" s="119"/>
      <c r="D19" s="119" t="s">
        <v>389</v>
      </c>
      <c r="E19" s="119" t="s">
        <v>110</v>
      </c>
      <c r="F19" s="119" t="s">
        <v>90</v>
      </c>
      <c r="G19" s="119" t="s">
        <v>58</v>
      </c>
      <c r="H19" s="119"/>
      <c r="I19" s="117">
        <v>6400.0</v>
      </c>
      <c r="J19" s="118"/>
      <c r="K19" s="46"/>
      <c r="L19" s="46"/>
      <c r="M19" s="46"/>
      <c r="N19" s="117"/>
      <c r="O19" s="119"/>
      <c r="P19" s="119"/>
      <c r="Q19" s="120"/>
      <c r="R19" s="193"/>
      <c r="S19" s="194"/>
      <c r="T19" s="195"/>
      <c r="U19" s="195"/>
      <c r="V19" s="195"/>
      <c r="W19" s="195"/>
      <c r="X19" s="195"/>
      <c r="Y19" s="195"/>
      <c r="Z19" s="195"/>
      <c r="AA19" s="195"/>
    </row>
    <row r="20" ht="20.25" customHeight="1">
      <c r="A20" s="192" t="s">
        <v>108</v>
      </c>
      <c r="B20" s="118" t="s">
        <v>390</v>
      </c>
      <c r="C20" s="119"/>
      <c r="D20" s="119" t="s">
        <v>391</v>
      </c>
      <c r="E20" s="119" t="s">
        <v>371</v>
      </c>
      <c r="F20" s="119" t="s">
        <v>96</v>
      </c>
      <c r="G20" s="119" t="s">
        <v>58</v>
      </c>
      <c r="H20" s="119"/>
      <c r="I20" s="117">
        <v>2000.0</v>
      </c>
      <c r="J20" s="118"/>
      <c r="K20" s="46"/>
      <c r="L20" s="46"/>
      <c r="M20" s="46"/>
      <c r="N20" s="117"/>
      <c r="O20" s="119"/>
      <c r="P20" s="119"/>
      <c r="Q20" s="120"/>
      <c r="R20" s="193"/>
      <c r="S20" s="194"/>
      <c r="T20" s="195"/>
      <c r="U20" s="195"/>
      <c r="V20" s="195"/>
      <c r="W20" s="195"/>
      <c r="X20" s="195"/>
      <c r="Y20" s="195"/>
      <c r="Z20" s="195"/>
      <c r="AA20" s="195"/>
    </row>
    <row r="21" ht="20.25" customHeight="1">
      <c r="A21" s="192" t="s">
        <v>234</v>
      </c>
      <c r="B21" s="118">
        <v>46149.0</v>
      </c>
      <c r="C21" s="119"/>
      <c r="D21" s="119" t="s">
        <v>392</v>
      </c>
      <c r="E21" s="119" t="s">
        <v>128</v>
      </c>
      <c r="F21" s="119" t="s">
        <v>90</v>
      </c>
      <c r="G21" s="119" t="s">
        <v>58</v>
      </c>
      <c r="H21" s="119"/>
      <c r="I21" s="117">
        <v>5000.0</v>
      </c>
      <c r="J21" s="118"/>
      <c r="K21" s="46"/>
      <c r="L21" s="46"/>
      <c r="M21" s="46"/>
      <c r="N21" s="117"/>
      <c r="O21" s="119"/>
      <c r="P21" s="119"/>
      <c r="Q21" s="120"/>
      <c r="R21" s="193"/>
      <c r="S21" s="194"/>
      <c r="T21" s="195"/>
      <c r="U21" s="195"/>
      <c r="V21" s="195"/>
      <c r="W21" s="195"/>
      <c r="X21" s="195"/>
      <c r="Y21" s="195"/>
      <c r="Z21" s="195"/>
      <c r="AA21" s="195"/>
    </row>
    <row r="22" ht="20.25" customHeight="1">
      <c r="A22" s="192" t="s">
        <v>121</v>
      </c>
      <c r="B22" s="118">
        <v>46149.0</v>
      </c>
      <c r="C22" s="119"/>
      <c r="D22" s="119" t="s">
        <v>393</v>
      </c>
      <c r="E22" s="119" t="s">
        <v>135</v>
      </c>
      <c r="F22" s="119" t="s">
        <v>90</v>
      </c>
      <c r="G22" s="119" t="s">
        <v>58</v>
      </c>
      <c r="H22" s="119"/>
      <c r="I22" s="117">
        <v>3576.0</v>
      </c>
      <c r="J22" s="118"/>
      <c r="K22" s="46"/>
      <c r="L22" s="46"/>
      <c r="M22" s="46"/>
      <c r="N22" s="117"/>
      <c r="O22" s="119"/>
      <c r="P22" s="119" t="s">
        <v>97</v>
      </c>
      <c r="Q22" s="120"/>
      <c r="R22" s="193"/>
      <c r="S22" s="194"/>
      <c r="T22" s="195"/>
      <c r="U22" s="195"/>
      <c r="V22" s="195"/>
      <c r="W22" s="195"/>
      <c r="X22" s="195"/>
      <c r="Y22" s="195"/>
      <c r="Z22" s="195"/>
      <c r="AA22" s="195"/>
    </row>
    <row r="23" ht="20.25" customHeight="1">
      <c r="A23" s="192" t="s">
        <v>121</v>
      </c>
      <c r="B23" s="118">
        <v>46149.0</v>
      </c>
      <c r="C23" s="119"/>
      <c r="D23" s="119" t="s">
        <v>394</v>
      </c>
      <c r="E23" s="119" t="s">
        <v>128</v>
      </c>
      <c r="F23" s="119" t="s">
        <v>96</v>
      </c>
      <c r="G23" s="119" t="s">
        <v>58</v>
      </c>
      <c r="H23" s="119"/>
      <c r="I23" s="117">
        <v>4685.0</v>
      </c>
      <c r="J23" s="118"/>
      <c r="K23" s="118"/>
      <c r="L23" s="118"/>
      <c r="M23" s="118"/>
      <c r="N23" s="117"/>
      <c r="O23" s="119"/>
      <c r="P23" s="119" t="s">
        <v>183</v>
      </c>
      <c r="Q23" s="120"/>
      <c r="R23" s="193"/>
      <c r="S23" s="194"/>
      <c r="T23" s="195"/>
      <c r="U23" s="195"/>
      <c r="V23" s="195"/>
      <c r="W23" s="195"/>
      <c r="X23" s="195"/>
      <c r="Y23" s="195"/>
      <c r="Z23" s="195"/>
      <c r="AA23" s="195"/>
    </row>
    <row r="24" ht="20.25" customHeight="1">
      <c r="A24" s="192" t="s">
        <v>108</v>
      </c>
      <c r="B24" s="118">
        <v>46153.0</v>
      </c>
      <c r="C24" s="119"/>
      <c r="D24" s="119" t="s">
        <v>395</v>
      </c>
      <c r="E24" s="119" t="s">
        <v>110</v>
      </c>
      <c r="F24" s="119" t="s">
        <v>90</v>
      </c>
      <c r="G24" s="119" t="s">
        <v>49</v>
      </c>
      <c r="H24" s="119"/>
      <c r="I24" s="117">
        <v>22356.0</v>
      </c>
      <c r="J24" s="118"/>
      <c r="K24" s="46"/>
      <c r="L24" s="46"/>
      <c r="M24" s="46"/>
      <c r="N24" s="117"/>
      <c r="O24" s="119"/>
      <c r="P24" s="119"/>
      <c r="Q24" s="120"/>
      <c r="R24" s="193"/>
      <c r="S24" s="194"/>
      <c r="T24" s="195"/>
      <c r="U24" s="195"/>
      <c r="V24" s="195"/>
      <c r="W24" s="195"/>
      <c r="X24" s="195"/>
      <c r="Y24" s="195"/>
      <c r="Z24" s="195"/>
      <c r="AA24" s="195"/>
    </row>
    <row r="25" ht="20.25" customHeight="1">
      <c r="A25" s="192" t="s">
        <v>121</v>
      </c>
      <c r="B25" s="118">
        <v>46154.0</v>
      </c>
      <c r="C25" s="119"/>
      <c r="D25" s="119" t="s">
        <v>396</v>
      </c>
      <c r="E25" s="119" t="s">
        <v>397</v>
      </c>
      <c r="F25" s="119" t="s">
        <v>96</v>
      </c>
      <c r="G25" s="119" t="s">
        <v>398</v>
      </c>
      <c r="H25" s="119"/>
      <c r="I25" s="117">
        <v>250.0</v>
      </c>
      <c r="J25" s="118"/>
      <c r="K25" s="46"/>
      <c r="L25" s="46"/>
      <c r="M25" s="46"/>
      <c r="N25" s="117"/>
      <c r="O25" s="119"/>
      <c r="P25" s="119" t="s">
        <v>119</v>
      </c>
      <c r="Q25" s="120"/>
      <c r="R25" s="193"/>
      <c r="S25" s="194"/>
      <c r="T25" s="195"/>
      <c r="U25" s="195"/>
      <c r="V25" s="195"/>
      <c r="W25" s="195"/>
      <c r="X25" s="195"/>
      <c r="Y25" s="195"/>
      <c r="Z25" s="195"/>
      <c r="AA25" s="195"/>
    </row>
    <row r="26" ht="20.25" customHeight="1">
      <c r="A26" s="192" t="s">
        <v>121</v>
      </c>
      <c r="B26" s="118">
        <v>46154.0</v>
      </c>
      <c r="C26" s="119"/>
      <c r="D26" s="119" t="s">
        <v>399</v>
      </c>
      <c r="E26" s="119" t="s">
        <v>135</v>
      </c>
      <c r="F26" s="119" t="s">
        <v>90</v>
      </c>
      <c r="G26" s="119" t="s">
        <v>398</v>
      </c>
      <c r="H26" s="119"/>
      <c r="I26" s="117">
        <v>4764.0</v>
      </c>
      <c r="J26" s="118"/>
      <c r="K26" s="46"/>
      <c r="L26" s="46"/>
      <c r="M26" s="46"/>
      <c r="N26" s="117"/>
      <c r="O26" s="119"/>
      <c r="P26" s="119" t="s">
        <v>97</v>
      </c>
      <c r="Q26" s="120"/>
      <c r="R26" s="193"/>
      <c r="S26" s="194"/>
      <c r="T26" s="195"/>
      <c r="U26" s="195"/>
      <c r="V26" s="195"/>
      <c r="W26" s="195"/>
      <c r="X26" s="195"/>
      <c r="Y26" s="195"/>
      <c r="Z26" s="195"/>
      <c r="AA26" s="195"/>
    </row>
    <row r="27" ht="20.25" customHeight="1">
      <c r="A27" s="192" t="s">
        <v>108</v>
      </c>
      <c r="B27" s="225">
        <v>46154.0</v>
      </c>
      <c r="C27" s="119"/>
      <c r="D27" s="119" t="s">
        <v>400</v>
      </c>
      <c r="E27" s="119" t="s">
        <v>146</v>
      </c>
      <c r="F27" s="119" t="s">
        <v>96</v>
      </c>
      <c r="G27" s="119" t="s">
        <v>398</v>
      </c>
      <c r="H27" s="119"/>
      <c r="I27" s="117">
        <v>200.0</v>
      </c>
      <c r="J27" s="118"/>
      <c r="K27" s="46"/>
      <c r="L27" s="46"/>
      <c r="M27" s="46"/>
      <c r="N27" s="117"/>
      <c r="O27" s="119"/>
      <c r="P27" s="119"/>
      <c r="Q27" s="120"/>
      <c r="R27" s="193"/>
      <c r="S27" s="194"/>
      <c r="T27" s="195"/>
      <c r="U27" s="195"/>
      <c r="V27" s="195"/>
      <c r="W27" s="195"/>
      <c r="X27" s="195"/>
      <c r="Y27" s="195"/>
      <c r="Z27" s="195"/>
      <c r="AA27" s="195"/>
    </row>
    <row r="28" ht="20.25" customHeight="1">
      <c r="A28" s="192" t="s">
        <v>121</v>
      </c>
      <c r="B28" s="118">
        <v>46154.0</v>
      </c>
      <c r="C28" s="119"/>
      <c r="D28" s="119" t="s">
        <v>401</v>
      </c>
      <c r="E28" s="119" t="s">
        <v>128</v>
      </c>
      <c r="F28" s="119" t="s">
        <v>90</v>
      </c>
      <c r="G28" s="119" t="s">
        <v>50</v>
      </c>
      <c r="H28" s="119"/>
      <c r="I28" s="117">
        <v>1400.0</v>
      </c>
      <c r="J28" s="118"/>
      <c r="K28" s="46"/>
      <c r="L28" s="46"/>
      <c r="M28" s="46"/>
      <c r="N28" s="117"/>
      <c r="O28" s="119"/>
      <c r="P28" s="119" t="s">
        <v>93</v>
      </c>
      <c r="Q28" s="120"/>
      <c r="R28" s="193"/>
      <c r="S28" s="194"/>
      <c r="T28" s="195"/>
      <c r="U28" s="195"/>
      <c r="V28" s="195"/>
      <c r="W28" s="195"/>
      <c r="X28" s="195"/>
      <c r="Y28" s="195"/>
      <c r="Z28" s="195"/>
      <c r="AA28" s="195"/>
    </row>
    <row r="29" ht="20.25" customHeight="1">
      <c r="A29" s="192" t="s">
        <v>121</v>
      </c>
      <c r="B29" s="118">
        <v>46155.0</v>
      </c>
      <c r="C29" s="119"/>
      <c r="D29" s="119" t="s">
        <v>402</v>
      </c>
      <c r="E29" s="119" t="s">
        <v>128</v>
      </c>
      <c r="F29" s="119" t="s">
        <v>96</v>
      </c>
      <c r="G29" s="119" t="s">
        <v>50</v>
      </c>
      <c r="H29" s="119"/>
      <c r="I29" s="117">
        <v>1000.0</v>
      </c>
      <c r="J29" s="118"/>
      <c r="K29" s="46"/>
      <c r="L29" s="46"/>
      <c r="M29" s="46"/>
      <c r="N29" s="117"/>
      <c r="O29" s="119"/>
      <c r="P29" s="119" t="s">
        <v>97</v>
      </c>
      <c r="Q29" s="120"/>
      <c r="R29" s="193"/>
      <c r="S29" s="194"/>
      <c r="T29" s="195"/>
      <c r="U29" s="195"/>
      <c r="V29" s="195"/>
      <c r="W29" s="195"/>
      <c r="X29" s="195"/>
      <c r="Y29" s="195"/>
      <c r="Z29" s="195"/>
      <c r="AA29" s="195"/>
    </row>
    <row r="30" ht="20.25" customHeight="1">
      <c r="A30" s="192" t="s">
        <v>108</v>
      </c>
      <c r="B30" s="118">
        <v>46155.0</v>
      </c>
      <c r="C30" s="119"/>
      <c r="D30" s="119" t="s">
        <v>403</v>
      </c>
      <c r="E30" s="119" t="s">
        <v>135</v>
      </c>
      <c r="F30" s="119" t="s">
        <v>90</v>
      </c>
      <c r="G30" s="119" t="s">
        <v>50</v>
      </c>
      <c r="H30" s="119"/>
      <c r="I30" s="117">
        <v>5200.0</v>
      </c>
      <c r="J30" s="118"/>
      <c r="K30" s="46"/>
      <c r="L30" s="46"/>
      <c r="M30" s="46"/>
      <c r="N30" s="117"/>
      <c r="O30" s="119"/>
      <c r="P30" s="119"/>
      <c r="Q30" s="120"/>
      <c r="R30" s="193"/>
      <c r="S30" s="194"/>
      <c r="T30" s="195"/>
      <c r="U30" s="195"/>
      <c r="V30" s="195"/>
      <c r="W30" s="195"/>
      <c r="X30" s="195"/>
      <c r="Y30" s="195"/>
      <c r="Z30" s="195"/>
      <c r="AA30" s="195"/>
    </row>
    <row r="31" ht="20.25" customHeight="1">
      <c r="A31" s="192" t="s">
        <v>121</v>
      </c>
      <c r="B31" s="118">
        <v>46155.0</v>
      </c>
      <c r="C31" s="119"/>
      <c r="D31" s="119" t="s">
        <v>404</v>
      </c>
      <c r="E31" s="119" t="s">
        <v>110</v>
      </c>
      <c r="F31" s="119" t="s">
        <v>90</v>
      </c>
      <c r="G31" s="119" t="s">
        <v>54</v>
      </c>
      <c r="H31" s="119"/>
      <c r="I31" s="117">
        <v>100.0</v>
      </c>
      <c r="J31" s="118"/>
      <c r="K31" s="46"/>
      <c r="L31" s="46"/>
      <c r="M31" s="46"/>
      <c r="N31" s="117"/>
      <c r="O31" s="119"/>
      <c r="P31" s="119" t="s">
        <v>119</v>
      </c>
      <c r="Q31" s="120"/>
      <c r="R31" s="193"/>
      <c r="S31" s="194"/>
      <c r="T31" s="195"/>
      <c r="U31" s="195"/>
      <c r="V31" s="195"/>
      <c r="W31" s="195"/>
      <c r="X31" s="195"/>
      <c r="Y31" s="195"/>
      <c r="Z31" s="195"/>
      <c r="AA31" s="195"/>
    </row>
    <row r="32" ht="20.25" customHeight="1">
      <c r="A32" s="192" t="s">
        <v>124</v>
      </c>
      <c r="B32" s="118">
        <v>46155.0</v>
      </c>
      <c r="C32" s="119"/>
      <c r="D32" s="119" t="s">
        <v>405</v>
      </c>
      <c r="E32" s="119" t="s">
        <v>123</v>
      </c>
      <c r="F32" s="119" t="s">
        <v>90</v>
      </c>
      <c r="G32" s="119" t="s">
        <v>50</v>
      </c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93"/>
      <c r="S32" s="194"/>
      <c r="T32" s="195"/>
      <c r="U32" s="195"/>
      <c r="V32" s="195"/>
      <c r="W32" s="195"/>
      <c r="X32" s="195"/>
      <c r="Y32" s="195"/>
      <c r="Z32" s="195"/>
      <c r="AA32" s="195"/>
    </row>
    <row r="33" ht="20.25" customHeight="1">
      <c r="A33" s="192" t="s">
        <v>234</v>
      </c>
      <c r="B33" s="118">
        <v>46155.0</v>
      </c>
      <c r="C33" s="119"/>
      <c r="D33" s="119" t="s">
        <v>406</v>
      </c>
      <c r="E33" s="119" t="s">
        <v>110</v>
      </c>
      <c r="F33" s="119" t="s">
        <v>96</v>
      </c>
      <c r="G33" s="119" t="s">
        <v>50</v>
      </c>
      <c r="H33" s="119"/>
      <c r="I33" s="117">
        <v>4026.0</v>
      </c>
      <c r="J33" s="118"/>
      <c r="K33" s="46"/>
      <c r="L33" s="46"/>
      <c r="M33" s="46"/>
      <c r="N33" s="117"/>
      <c r="O33" s="119"/>
      <c r="P33" s="119"/>
      <c r="Q33" s="120"/>
      <c r="R33" s="193"/>
      <c r="S33" s="194"/>
      <c r="T33" s="195"/>
      <c r="U33" s="195"/>
      <c r="V33" s="195"/>
      <c r="W33" s="195"/>
      <c r="X33" s="195"/>
      <c r="Y33" s="195"/>
      <c r="Z33" s="195"/>
      <c r="AA33" s="195"/>
    </row>
    <row r="34" ht="20.25" customHeight="1">
      <c r="A34" s="192" t="s">
        <v>124</v>
      </c>
      <c r="B34" s="118">
        <v>46155.0</v>
      </c>
      <c r="C34" s="119"/>
      <c r="D34" s="119" t="s">
        <v>407</v>
      </c>
      <c r="E34" s="119" t="s">
        <v>126</v>
      </c>
      <c r="F34" s="119" t="s">
        <v>90</v>
      </c>
      <c r="G34" s="119" t="s">
        <v>50</v>
      </c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93"/>
      <c r="S34" s="194"/>
      <c r="T34" s="195"/>
      <c r="U34" s="195"/>
      <c r="V34" s="195"/>
      <c r="W34" s="195"/>
      <c r="X34" s="195"/>
      <c r="Y34" s="195"/>
      <c r="Z34" s="195"/>
      <c r="AA34" s="195"/>
    </row>
    <row r="35" ht="20.25" customHeight="1">
      <c r="A35" s="192" t="s">
        <v>234</v>
      </c>
      <c r="B35" s="118">
        <v>46155.0</v>
      </c>
      <c r="C35" s="119"/>
      <c r="D35" s="119" t="s">
        <v>408</v>
      </c>
      <c r="E35" s="119" t="s">
        <v>128</v>
      </c>
      <c r="F35" s="119" t="s">
        <v>90</v>
      </c>
      <c r="G35" s="119" t="s">
        <v>49</v>
      </c>
      <c r="H35" s="119"/>
      <c r="I35" s="117">
        <v>2920.0</v>
      </c>
      <c r="J35" s="118"/>
      <c r="K35" s="46"/>
      <c r="L35" s="46"/>
      <c r="M35" s="46"/>
      <c r="N35" s="117"/>
      <c r="O35" s="119"/>
      <c r="P35" s="119"/>
      <c r="Q35" s="120"/>
      <c r="R35" s="193"/>
      <c r="S35" s="194"/>
      <c r="T35" s="195"/>
      <c r="U35" s="195"/>
      <c r="V35" s="195"/>
      <c r="W35" s="195"/>
      <c r="X35" s="195"/>
      <c r="Y35" s="195"/>
      <c r="Z35" s="195"/>
      <c r="AA35" s="195"/>
    </row>
    <row r="36" ht="20.25" customHeight="1">
      <c r="A36" s="192" t="s">
        <v>121</v>
      </c>
      <c r="B36" s="118">
        <v>46156.0</v>
      </c>
      <c r="C36" s="119"/>
      <c r="D36" s="119" t="s">
        <v>409</v>
      </c>
      <c r="E36" s="119" t="s">
        <v>227</v>
      </c>
      <c r="F36" s="119" t="s">
        <v>96</v>
      </c>
      <c r="G36" s="119" t="s">
        <v>56</v>
      </c>
      <c r="H36" s="119"/>
      <c r="I36" s="117">
        <v>205.0</v>
      </c>
      <c r="J36" s="118"/>
      <c r="K36" s="46"/>
      <c r="L36" s="46"/>
      <c r="M36" s="46"/>
      <c r="N36" s="117"/>
      <c r="O36" s="119"/>
      <c r="P36" s="119" t="s">
        <v>91</v>
      </c>
      <c r="Q36" s="120"/>
      <c r="R36" s="193"/>
      <c r="S36" s="194"/>
      <c r="T36" s="195"/>
      <c r="U36" s="195"/>
      <c r="V36" s="195"/>
      <c r="W36" s="195"/>
      <c r="X36" s="195"/>
      <c r="Y36" s="195"/>
      <c r="Z36" s="195"/>
      <c r="AA36" s="195"/>
    </row>
    <row r="37" ht="20.25" customHeight="1">
      <c r="A37" s="192" t="s">
        <v>121</v>
      </c>
      <c r="B37" s="118">
        <v>46156.0</v>
      </c>
      <c r="C37" s="119"/>
      <c r="D37" s="119" t="s">
        <v>410</v>
      </c>
      <c r="E37" s="119" t="s">
        <v>113</v>
      </c>
      <c r="F37" s="119" t="s">
        <v>90</v>
      </c>
      <c r="G37" s="119" t="s">
        <v>57</v>
      </c>
      <c r="H37" s="119"/>
      <c r="I37" s="117">
        <v>322.0</v>
      </c>
      <c r="J37" s="118"/>
      <c r="K37" s="46"/>
      <c r="L37" s="46"/>
      <c r="M37" s="46"/>
      <c r="N37" s="117"/>
      <c r="O37" s="119"/>
      <c r="P37" s="119" t="s">
        <v>91</v>
      </c>
      <c r="Q37" s="120"/>
      <c r="R37" s="193"/>
      <c r="S37" s="194"/>
      <c r="T37" s="195"/>
      <c r="U37" s="195"/>
      <c r="V37" s="195"/>
      <c r="W37" s="195"/>
      <c r="X37" s="195"/>
      <c r="Y37" s="195"/>
      <c r="Z37" s="195"/>
      <c r="AA37" s="195"/>
    </row>
    <row r="38" ht="20.25" customHeight="1">
      <c r="A38" s="192" t="s">
        <v>121</v>
      </c>
      <c r="B38" s="118">
        <v>46157.0</v>
      </c>
      <c r="C38" s="119"/>
      <c r="D38" s="119" t="s">
        <v>411</v>
      </c>
      <c r="E38" s="119" t="s">
        <v>123</v>
      </c>
      <c r="F38" s="119" t="s">
        <v>90</v>
      </c>
      <c r="G38" s="119" t="s">
        <v>50</v>
      </c>
      <c r="H38" s="119"/>
      <c r="I38" s="117">
        <v>1330.0</v>
      </c>
      <c r="J38" s="118"/>
      <c r="K38" s="46"/>
      <c r="L38" s="46"/>
      <c r="M38" s="46"/>
      <c r="N38" s="117"/>
      <c r="O38" s="119"/>
      <c r="P38" s="119" t="s">
        <v>93</v>
      </c>
      <c r="Q38" s="120"/>
      <c r="R38" s="193"/>
      <c r="S38" s="194"/>
      <c r="T38" s="195"/>
      <c r="U38" s="195"/>
      <c r="V38" s="195"/>
      <c r="W38" s="195"/>
      <c r="X38" s="195"/>
      <c r="Y38" s="195"/>
      <c r="Z38" s="195"/>
      <c r="AA38" s="195"/>
    </row>
    <row r="39" ht="20.25" customHeight="1">
      <c r="A39" s="192" t="s">
        <v>108</v>
      </c>
      <c r="B39" s="118">
        <v>46157.0</v>
      </c>
      <c r="C39" s="119"/>
      <c r="D39" s="119" t="s">
        <v>412</v>
      </c>
      <c r="E39" s="119" t="s">
        <v>110</v>
      </c>
      <c r="F39" s="119" t="s">
        <v>96</v>
      </c>
      <c r="G39" s="119" t="s">
        <v>50</v>
      </c>
      <c r="H39" s="119"/>
      <c r="I39" s="117">
        <v>1296.0</v>
      </c>
      <c r="J39" s="118"/>
      <c r="K39" s="46"/>
      <c r="L39" s="46"/>
      <c r="M39" s="46"/>
      <c r="N39" s="117"/>
      <c r="O39" s="119"/>
      <c r="P39" s="119"/>
      <c r="Q39" s="120"/>
      <c r="R39" s="193"/>
      <c r="S39" s="194"/>
      <c r="T39" s="195"/>
      <c r="U39" s="195"/>
      <c r="V39" s="195"/>
      <c r="W39" s="195"/>
      <c r="X39" s="195"/>
      <c r="Y39" s="195"/>
      <c r="Z39" s="195"/>
      <c r="AA39" s="195"/>
    </row>
    <row r="40" ht="20.25" customHeight="1">
      <c r="A40" s="192" t="s">
        <v>108</v>
      </c>
      <c r="B40" s="118">
        <v>46157.0</v>
      </c>
      <c r="C40" s="119"/>
      <c r="D40" s="119" t="s">
        <v>413</v>
      </c>
      <c r="E40" s="119" t="s">
        <v>110</v>
      </c>
      <c r="F40" s="119" t="s">
        <v>90</v>
      </c>
      <c r="G40" s="119" t="s">
        <v>50</v>
      </c>
      <c r="H40" s="119"/>
      <c r="I40" s="117">
        <v>1860.0</v>
      </c>
      <c r="J40" s="118"/>
      <c r="K40" s="46"/>
      <c r="L40" s="46"/>
      <c r="M40" s="46"/>
      <c r="N40" s="117"/>
      <c r="O40" s="119"/>
      <c r="P40" s="119"/>
      <c r="Q40" s="120"/>
      <c r="R40" s="193"/>
      <c r="S40" s="194"/>
      <c r="T40" s="195"/>
      <c r="U40" s="195"/>
      <c r="V40" s="195"/>
      <c r="W40" s="195"/>
      <c r="X40" s="195"/>
      <c r="Y40" s="195"/>
      <c r="Z40" s="195"/>
      <c r="AA40" s="195"/>
    </row>
    <row r="41" ht="20.25" customHeight="1">
      <c r="A41" s="226" t="s">
        <v>121</v>
      </c>
      <c r="B41" s="118">
        <v>46161.0</v>
      </c>
      <c r="C41" s="119"/>
      <c r="D41" s="119" t="s">
        <v>414</v>
      </c>
      <c r="E41" s="119" t="s">
        <v>126</v>
      </c>
      <c r="F41" s="119" t="s">
        <v>90</v>
      </c>
      <c r="G41" s="119" t="s">
        <v>50</v>
      </c>
      <c r="H41" s="119"/>
      <c r="I41" s="117">
        <v>5790.0</v>
      </c>
      <c r="J41" s="118"/>
      <c r="K41" s="46"/>
      <c r="L41" s="46"/>
      <c r="M41" s="46"/>
      <c r="N41" s="117"/>
      <c r="O41" s="119"/>
      <c r="P41" s="119"/>
      <c r="Q41" s="120"/>
      <c r="R41" s="193"/>
      <c r="S41" s="194"/>
      <c r="T41" s="195"/>
      <c r="U41" s="195"/>
      <c r="V41" s="195"/>
      <c r="W41" s="195"/>
      <c r="X41" s="195"/>
      <c r="Y41" s="195"/>
      <c r="Z41" s="195"/>
      <c r="AA41" s="195"/>
    </row>
    <row r="42" ht="20.25" customHeight="1">
      <c r="A42" s="192" t="s">
        <v>121</v>
      </c>
      <c r="B42" s="118">
        <v>46161.0</v>
      </c>
      <c r="C42" s="119"/>
      <c r="D42" s="119" t="s">
        <v>415</v>
      </c>
      <c r="E42" s="119" t="s">
        <v>397</v>
      </c>
      <c r="F42" s="119" t="s">
        <v>96</v>
      </c>
      <c r="G42" s="119" t="s">
        <v>398</v>
      </c>
      <c r="H42" s="119"/>
      <c r="I42" s="117">
        <v>340.0</v>
      </c>
      <c r="J42" s="118"/>
      <c r="K42" s="46"/>
      <c r="L42" s="46"/>
      <c r="M42" s="46"/>
      <c r="N42" s="117"/>
      <c r="O42" s="119"/>
      <c r="P42" s="119" t="s">
        <v>195</v>
      </c>
      <c r="Q42" s="120"/>
      <c r="R42" s="193"/>
      <c r="S42" s="194"/>
      <c r="T42" s="195"/>
      <c r="U42" s="195"/>
      <c r="V42" s="195"/>
      <c r="W42" s="195"/>
      <c r="X42" s="195"/>
      <c r="Y42" s="195"/>
      <c r="Z42" s="195"/>
      <c r="AA42" s="195"/>
    </row>
    <row r="43" ht="20.25" customHeight="1">
      <c r="A43" s="192" t="s">
        <v>121</v>
      </c>
      <c r="B43" s="118">
        <v>46161.0</v>
      </c>
      <c r="C43" s="119"/>
      <c r="D43" s="119" t="s">
        <v>416</v>
      </c>
      <c r="E43" s="119" t="s">
        <v>397</v>
      </c>
      <c r="F43" s="119" t="s">
        <v>90</v>
      </c>
      <c r="G43" s="119" t="s">
        <v>398</v>
      </c>
      <c r="H43" s="119"/>
      <c r="I43" s="117">
        <v>520.0</v>
      </c>
      <c r="J43" s="118"/>
      <c r="K43" s="46"/>
      <c r="L43" s="46"/>
      <c r="M43" s="46"/>
      <c r="N43" s="117"/>
      <c r="O43" s="119"/>
      <c r="P43" s="119" t="s">
        <v>195</v>
      </c>
      <c r="Q43" s="120"/>
      <c r="R43" s="193"/>
      <c r="S43" s="194"/>
      <c r="T43" s="195"/>
      <c r="U43" s="195"/>
      <c r="V43" s="195"/>
      <c r="W43" s="195"/>
      <c r="X43" s="195"/>
      <c r="Y43" s="195"/>
      <c r="Z43" s="195"/>
      <c r="AA43" s="195"/>
    </row>
    <row r="44" ht="20.25" customHeight="1">
      <c r="A44" s="192" t="s">
        <v>121</v>
      </c>
      <c r="B44" s="118">
        <v>46161.0</v>
      </c>
      <c r="C44" s="119"/>
      <c r="D44" s="119" t="s">
        <v>417</v>
      </c>
      <c r="E44" s="119" t="s">
        <v>123</v>
      </c>
      <c r="F44" s="119" t="s">
        <v>90</v>
      </c>
      <c r="G44" s="119" t="s">
        <v>50</v>
      </c>
      <c r="H44" s="119"/>
      <c r="I44" s="117">
        <v>330.0</v>
      </c>
      <c r="J44" s="118"/>
      <c r="K44" s="46"/>
      <c r="L44" s="46"/>
      <c r="M44" s="46"/>
      <c r="N44" s="117"/>
      <c r="O44" s="119"/>
      <c r="P44" s="119" t="s">
        <v>119</v>
      </c>
      <c r="Q44" s="120"/>
      <c r="R44" s="193"/>
      <c r="S44" s="194"/>
      <c r="T44" s="195"/>
      <c r="U44" s="195"/>
      <c r="V44" s="195"/>
      <c r="W44" s="195"/>
      <c r="X44" s="195"/>
      <c r="Y44" s="195"/>
      <c r="Z44" s="195"/>
      <c r="AA44" s="195"/>
    </row>
    <row r="45" ht="20.25" customHeight="1">
      <c r="A45" s="192" t="s">
        <v>124</v>
      </c>
      <c r="B45" s="118">
        <v>46161.0</v>
      </c>
      <c r="C45" s="119"/>
      <c r="D45" s="119" t="s">
        <v>418</v>
      </c>
      <c r="E45" s="119" t="s">
        <v>146</v>
      </c>
      <c r="F45" s="119" t="s">
        <v>90</v>
      </c>
      <c r="G45" s="119" t="s">
        <v>50</v>
      </c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93"/>
      <c r="S45" s="194"/>
      <c r="T45" s="195"/>
      <c r="U45" s="195"/>
      <c r="V45" s="195"/>
      <c r="W45" s="195"/>
      <c r="X45" s="195"/>
      <c r="Y45" s="195"/>
      <c r="Z45" s="195"/>
      <c r="AA45" s="195"/>
    </row>
    <row r="46" ht="20.25" customHeight="1">
      <c r="A46" s="192" t="s">
        <v>108</v>
      </c>
      <c r="B46" s="118">
        <v>46161.0</v>
      </c>
      <c r="C46" s="119"/>
      <c r="D46" s="119" t="s">
        <v>419</v>
      </c>
      <c r="E46" s="119" t="s">
        <v>128</v>
      </c>
      <c r="F46" s="119" t="s">
        <v>96</v>
      </c>
      <c r="G46" s="119" t="s">
        <v>50</v>
      </c>
      <c r="H46" s="119"/>
      <c r="I46" s="117">
        <v>7200.0</v>
      </c>
      <c r="J46" s="118"/>
      <c r="K46" s="46"/>
      <c r="L46" s="46"/>
      <c r="M46" s="46"/>
      <c r="N46" s="117"/>
      <c r="O46" s="119"/>
      <c r="P46" s="119"/>
      <c r="Q46" s="120"/>
      <c r="R46" s="193" t="s">
        <v>420</v>
      </c>
      <c r="S46" s="194"/>
      <c r="T46" s="195"/>
      <c r="U46" s="195"/>
      <c r="V46" s="195"/>
      <c r="W46" s="195"/>
      <c r="X46" s="195"/>
      <c r="Y46" s="195"/>
      <c r="Z46" s="195"/>
      <c r="AA46" s="195"/>
    </row>
    <row r="47" ht="20.25" customHeight="1">
      <c r="A47" s="192" t="s">
        <v>121</v>
      </c>
      <c r="B47" s="118">
        <v>46162.0</v>
      </c>
      <c r="C47" s="119"/>
      <c r="D47" s="119" t="s">
        <v>421</v>
      </c>
      <c r="E47" s="119" t="s">
        <v>123</v>
      </c>
      <c r="F47" s="119" t="s">
        <v>96</v>
      </c>
      <c r="G47" s="119" t="s">
        <v>50</v>
      </c>
      <c r="H47" s="119"/>
      <c r="I47" s="117">
        <v>230.0</v>
      </c>
      <c r="J47" s="118"/>
      <c r="K47" s="46"/>
      <c r="L47" s="46"/>
      <c r="M47" s="46"/>
      <c r="N47" s="117"/>
      <c r="O47" s="119"/>
      <c r="P47" s="119" t="s">
        <v>119</v>
      </c>
      <c r="Q47" s="120"/>
      <c r="R47" s="193"/>
      <c r="S47" s="194"/>
      <c r="T47" s="195"/>
      <c r="U47" s="195"/>
      <c r="V47" s="195"/>
      <c r="W47" s="195"/>
      <c r="X47" s="195"/>
      <c r="Y47" s="195"/>
      <c r="Z47" s="195"/>
      <c r="AA47" s="195"/>
    </row>
    <row r="48" ht="20.25" customHeight="1">
      <c r="A48" s="192" t="s">
        <v>121</v>
      </c>
      <c r="B48" s="118">
        <v>46162.0</v>
      </c>
      <c r="C48" s="119"/>
      <c r="D48" s="119" t="s">
        <v>422</v>
      </c>
      <c r="E48" s="119" t="s">
        <v>135</v>
      </c>
      <c r="F48" s="119" t="s">
        <v>90</v>
      </c>
      <c r="G48" s="119" t="s">
        <v>49</v>
      </c>
      <c r="H48" s="119"/>
      <c r="I48" s="117">
        <v>2656.0</v>
      </c>
      <c r="J48" s="118"/>
      <c r="K48" s="118"/>
      <c r="L48" s="118"/>
      <c r="M48" s="118"/>
      <c r="N48" s="117"/>
      <c r="O48" s="119"/>
      <c r="P48" s="119" t="s">
        <v>97</v>
      </c>
      <c r="Q48" s="120"/>
      <c r="R48" s="193"/>
      <c r="S48" s="194"/>
      <c r="T48" s="195"/>
      <c r="U48" s="195"/>
      <c r="V48" s="195"/>
      <c r="W48" s="195"/>
      <c r="X48" s="195"/>
      <c r="Y48" s="195"/>
      <c r="Z48" s="195"/>
      <c r="AA48" s="195"/>
    </row>
    <row r="49" ht="20.25" customHeight="1">
      <c r="A49" s="192" t="s">
        <v>121</v>
      </c>
      <c r="B49" s="118">
        <v>46162.0</v>
      </c>
      <c r="C49" s="119"/>
      <c r="D49" s="119" t="s">
        <v>92</v>
      </c>
      <c r="E49" s="119" t="s">
        <v>227</v>
      </c>
      <c r="F49" s="119" t="s">
        <v>90</v>
      </c>
      <c r="G49" s="119" t="s">
        <v>50</v>
      </c>
      <c r="H49" s="119"/>
      <c r="I49" s="117">
        <v>1030.0</v>
      </c>
      <c r="J49" s="118"/>
      <c r="K49" s="46"/>
      <c r="L49" s="46"/>
      <c r="M49" s="46"/>
      <c r="N49" s="117"/>
      <c r="O49" s="119"/>
      <c r="P49" s="119" t="s">
        <v>119</v>
      </c>
      <c r="Q49" s="120"/>
      <c r="R49" s="193"/>
      <c r="S49" s="194"/>
      <c r="T49" s="195"/>
      <c r="U49" s="195"/>
      <c r="V49" s="195"/>
      <c r="W49" s="195"/>
      <c r="X49" s="195"/>
      <c r="Y49" s="195"/>
      <c r="Z49" s="195"/>
      <c r="AA49" s="195"/>
    </row>
    <row r="50" ht="20.25" customHeight="1">
      <c r="A50" s="192" t="s">
        <v>124</v>
      </c>
      <c r="B50" s="118">
        <v>46162.0</v>
      </c>
      <c r="C50" s="119"/>
      <c r="D50" s="119" t="s">
        <v>423</v>
      </c>
      <c r="E50" s="119" t="s">
        <v>113</v>
      </c>
      <c r="F50" s="119" t="s">
        <v>90</v>
      </c>
      <c r="G50" s="119" t="s">
        <v>50</v>
      </c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93"/>
      <c r="S50" s="194"/>
      <c r="T50" s="195"/>
      <c r="U50" s="195"/>
      <c r="V50" s="195"/>
      <c r="W50" s="195"/>
      <c r="X50" s="195"/>
      <c r="Y50" s="195"/>
      <c r="Z50" s="195"/>
      <c r="AA50" s="195"/>
    </row>
    <row r="51" ht="20.25" customHeight="1">
      <c r="A51" s="192" t="s">
        <v>121</v>
      </c>
      <c r="B51" s="118">
        <v>46162.0</v>
      </c>
      <c r="C51" s="119"/>
      <c r="D51" s="119" t="s">
        <v>424</v>
      </c>
      <c r="E51" s="119" t="s">
        <v>126</v>
      </c>
      <c r="F51" s="119" t="s">
        <v>90</v>
      </c>
      <c r="G51" s="119" t="s">
        <v>50</v>
      </c>
      <c r="H51" s="119"/>
      <c r="I51" s="117">
        <v>50.0</v>
      </c>
      <c r="J51" s="118"/>
      <c r="K51" s="46"/>
      <c r="L51" s="46"/>
      <c r="M51" s="46"/>
      <c r="N51" s="117"/>
      <c r="O51" s="119"/>
      <c r="P51" s="119"/>
      <c r="Q51" s="120"/>
      <c r="R51" s="193"/>
      <c r="S51" s="194"/>
      <c r="T51" s="195"/>
      <c r="U51" s="195"/>
      <c r="V51" s="195"/>
      <c r="W51" s="195"/>
      <c r="X51" s="195"/>
      <c r="Y51" s="195"/>
      <c r="Z51" s="195"/>
      <c r="AA51" s="195"/>
    </row>
    <row r="52" ht="20.25" customHeight="1">
      <c r="A52" s="192" t="s">
        <v>234</v>
      </c>
      <c r="B52" s="118">
        <v>46163.0</v>
      </c>
      <c r="C52" s="119"/>
      <c r="D52" s="119" t="s">
        <v>425</v>
      </c>
      <c r="E52" s="119" t="s">
        <v>110</v>
      </c>
      <c r="F52" s="119" t="s">
        <v>90</v>
      </c>
      <c r="G52" s="119" t="s">
        <v>57</v>
      </c>
      <c r="H52" s="119"/>
      <c r="I52" s="117">
        <v>9657.0</v>
      </c>
      <c r="J52" s="118"/>
      <c r="K52" s="46"/>
      <c r="L52" s="46"/>
      <c r="M52" s="46"/>
      <c r="N52" s="117"/>
      <c r="O52" s="119"/>
      <c r="P52" s="119"/>
      <c r="Q52" s="120"/>
      <c r="R52" s="193"/>
      <c r="S52" s="194"/>
      <c r="T52" s="195"/>
      <c r="U52" s="195"/>
      <c r="V52" s="195"/>
      <c r="W52" s="195"/>
      <c r="X52" s="195"/>
      <c r="Y52" s="195"/>
      <c r="Z52" s="195"/>
      <c r="AA52" s="195"/>
    </row>
    <row r="53" ht="20.25" customHeight="1">
      <c r="A53" s="192" t="s">
        <v>121</v>
      </c>
      <c r="B53" s="118">
        <v>46167.0</v>
      </c>
      <c r="C53" s="119"/>
      <c r="D53" s="119" t="s">
        <v>426</v>
      </c>
      <c r="E53" s="119" t="s">
        <v>110</v>
      </c>
      <c r="F53" s="119" t="s">
        <v>90</v>
      </c>
      <c r="G53" s="119" t="s">
        <v>49</v>
      </c>
      <c r="H53" s="119"/>
      <c r="I53" s="117">
        <v>1951.0</v>
      </c>
      <c r="J53" s="118"/>
      <c r="K53" s="46"/>
      <c r="L53" s="46"/>
      <c r="M53" s="46"/>
      <c r="N53" s="117"/>
      <c r="O53" s="119"/>
      <c r="P53" s="119" t="s">
        <v>97</v>
      </c>
      <c r="Q53" s="120"/>
      <c r="R53" s="193"/>
      <c r="S53" s="194"/>
      <c r="T53" s="195"/>
      <c r="U53" s="195"/>
      <c r="V53" s="195"/>
      <c r="W53" s="195"/>
      <c r="X53" s="195"/>
      <c r="Y53" s="195"/>
      <c r="Z53" s="195"/>
      <c r="AA53" s="195"/>
    </row>
    <row r="54" ht="20.25" customHeight="1">
      <c r="A54" s="192" t="s">
        <v>121</v>
      </c>
      <c r="B54" s="118">
        <v>46168.0</v>
      </c>
      <c r="C54" s="119"/>
      <c r="D54" s="119" t="s">
        <v>427</v>
      </c>
      <c r="E54" s="119" t="s">
        <v>397</v>
      </c>
      <c r="F54" s="119" t="s">
        <v>90</v>
      </c>
      <c r="G54" s="119" t="s">
        <v>398</v>
      </c>
      <c r="H54" s="119"/>
      <c r="I54" s="117">
        <v>3780.0</v>
      </c>
      <c r="J54" s="118"/>
      <c r="K54" s="46"/>
      <c r="L54" s="46"/>
      <c r="M54" s="46"/>
      <c r="N54" s="117"/>
      <c r="O54" s="119"/>
      <c r="P54" s="119" t="s">
        <v>195</v>
      </c>
      <c r="Q54" s="120"/>
      <c r="R54" s="193"/>
      <c r="S54" s="194"/>
      <c r="T54" s="195"/>
      <c r="U54" s="195"/>
      <c r="V54" s="195"/>
      <c r="W54" s="195"/>
      <c r="X54" s="195"/>
      <c r="Y54" s="195"/>
      <c r="Z54" s="195"/>
      <c r="AA54" s="195"/>
    </row>
    <row r="55" ht="20.25" customHeight="1">
      <c r="A55" s="192" t="s">
        <v>124</v>
      </c>
      <c r="B55" s="118">
        <v>46168.0</v>
      </c>
      <c r="C55" s="119"/>
      <c r="D55" s="119" t="s">
        <v>428</v>
      </c>
      <c r="E55" s="119" t="s">
        <v>123</v>
      </c>
      <c r="F55" s="119" t="s">
        <v>96</v>
      </c>
      <c r="G55" s="119" t="s">
        <v>50</v>
      </c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93"/>
      <c r="S55" s="194"/>
      <c r="T55" s="195"/>
      <c r="U55" s="195"/>
      <c r="V55" s="195"/>
      <c r="W55" s="195"/>
      <c r="X55" s="195"/>
      <c r="Y55" s="195"/>
      <c r="Z55" s="195"/>
      <c r="AA55" s="195"/>
    </row>
    <row r="56" ht="20.25" customHeight="1">
      <c r="A56" s="192" t="s">
        <v>121</v>
      </c>
      <c r="B56" s="118">
        <v>46169.0</v>
      </c>
      <c r="C56" s="119"/>
      <c r="D56" s="119" t="s">
        <v>429</v>
      </c>
      <c r="E56" s="119" t="s">
        <v>128</v>
      </c>
      <c r="F56" s="119" t="s">
        <v>96</v>
      </c>
      <c r="G56" s="119" t="s">
        <v>49</v>
      </c>
      <c r="H56" s="119"/>
      <c r="I56" s="117">
        <v>650.0</v>
      </c>
      <c r="J56" s="118"/>
      <c r="K56" s="46"/>
      <c r="L56" s="46"/>
      <c r="M56" s="46"/>
      <c r="N56" s="117"/>
      <c r="O56" s="119"/>
      <c r="P56" s="119" t="s">
        <v>93</v>
      </c>
      <c r="Q56" s="120"/>
      <c r="R56" s="193"/>
      <c r="S56" s="194"/>
      <c r="T56" s="195"/>
      <c r="U56" s="195"/>
      <c r="V56" s="195"/>
      <c r="W56" s="195"/>
      <c r="X56" s="195"/>
      <c r="Y56" s="195"/>
      <c r="Z56" s="195"/>
      <c r="AA56" s="195"/>
    </row>
    <row r="57" ht="20.25" customHeight="1">
      <c r="A57" s="192" t="s">
        <v>121</v>
      </c>
      <c r="B57" s="118">
        <v>46169.0</v>
      </c>
      <c r="C57" s="119"/>
      <c r="D57" s="119" t="s">
        <v>430</v>
      </c>
      <c r="E57" s="119" t="s">
        <v>128</v>
      </c>
      <c r="F57" s="119" t="s">
        <v>90</v>
      </c>
      <c r="G57" s="119" t="s">
        <v>50</v>
      </c>
      <c r="H57" s="119"/>
      <c r="I57" s="117">
        <v>640.0</v>
      </c>
      <c r="J57" s="118"/>
      <c r="K57" s="46"/>
      <c r="L57" s="46"/>
      <c r="M57" s="46"/>
      <c r="N57" s="117"/>
      <c r="O57" s="119"/>
      <c r="P57" s="119" t="s">
        <v>119</v>
      </c>
      <c r="Q57" s="120"/>
      <c r="R57" s="193"/>
      <c r="S57" s="194"/>
      <c r="T57" s="195"/>
      <c r="U57" s="195"/>
      <c r="V57" s="195"/>
      <c r="W57" s="195"/>
      <c r="X57" s="195"/>
      <c r="Y57" s="195"/>
      <c r="Z57" s="195"/>
      <c r="AA57" s="195"/>
    </row>
    <row r="58" ht="20.25" customHeight="1">
      <c r="A58" s="192" t="s">
        <v>121</v>
      </c>
      <c r="B58" s="118">
        <v>46170.0</v>
      </c>
      <c r="C58" s="119"/>
      <c r="D58" s="119" t="s">
        <v>431</v>
      </c>
      <c r="E58" s="119" t="s">
        <v>432</v>
      </c>
      <c r="F58" s="119" t="s">
        <v>96</v>
      </c>
      <c r="G58" s="119" t="s">
        <v>58</v>
      </c>
      <c r="H58" s="119"/>
      <c r="I58" s="117">
        <v>7300.0</v>
      </c>
      <c r="J58" s="118"/>
      <c r="K58" s="46"/>
      <c r="L58" s="46"/>
      <c r="M58" s="46"/>
      <c r="N58" s="117"/>
      <c r="O58" s="119"/>
      <c r="P58" s="119" t="s">
        <v>97</v>
      </c>
      <c r="Q58" s="120"/>
      <c r="R58" s="193"/>
      <c r="S58" s="194"/>
      <c r="T58" s="195"/>
      <c r="U58" s="195"/>
      <c r="V58" s="195"/>
      <c r="W58" s="195"/>
      <c r="X58" s="195"/>
      <c r="Y58" s="195"/>
      <c r="Z58" s="195"/>
      <c r="AA58" s="195"/>
    </row>
    <row r="59" ht="20.25" customHeight="1">
      <c r="A59" s="192" t="s">
        <v>121</v>
      </c>
      <c r="B59" s="118">
        <v>46170.0</v>
      </c>
      <c r="C59" s="119"/>
      <c r="D59" s="119" t="s">
        <v>433</v>
      </c>
      <c r="E59" s="119" t="s">
        <v>128</v>
      </c>
      <c r="F59" s="119" t="s">
        <v>90</v>
      </c>
      <c r="G59" s="119" t="s">
        <v>58</v>
      </c>
      <c r="H59" s="119"/>
      <c r="I59" s="117">
        <v>1440.0</v>
      </c>
      <c r="J59" s="118"/>
      <c r="K59" s="46"/>
      <c r="L59" s="46"/>
      <c r="M59" s="46"/>
      <c r="N59" s="117"/>
      <c r="O59" s="119"/>
      <c r="P59" s="119" t="s">
        <v>97</v>
      </c>
      <c r="Q59" s="120"/>
      <c r="R59" s="193"/>
      <c r="S59" s="194"/>
      <c r="T59" s="195"/>
      <c r="U59" s="195"/>
      <c r="V59" s="195"/>
      <c r="W59" s="195"/>
      <c r="X59" s="195"/>
      <c r="Y59" s="195"/>
      <c r="Z59" s="195"/>
      <c r="AA59" s="195"/>
    </row>
    <row r="60" ht="20.25" customHeight="1">
      <c r="A60" s="192" t="s">
        <v>234</v>
      </c>
      <c r="B60" s="118">
        <v>46170.0</v>
      </c>
      <c r="C60" s="119"/>
      <c r="D60" s="119" t="s">
        <v>434</v>
      </c>
      <c r="E60" s="119" t="s">
        <v>110</v>
      </c>
      <c r="F60" s="119" t="s">
        <v>90</v>
      </c>
      <c r="G60" s="119" t="s">
        <v>57</v>
      </c>
      <c r="H60" s="119"/>
      <c r="I60" s="117">
        <v>2890.0</v>
      </c>
      <c r="J60" s="118"/>
      <c r="K60" s="46"/>
      <c r="L60" s="46"/>
      <c r="M60" s="46"/>
      <c r="N60" s="117"/>
      <c r="O60" s="119"/>
      <c r="P60" s="119"/>
      <c r="Q60" s="120"/>
      <c r="R60" s="193"/>
      <c r="S60" s="194"/>
      <c r="T60" s="195"/>
      <c r="U60" s="195"/>
      <c r="V60" s="195"/>
      <c r="W60" s="195"/>
      <c r="X60" s="195"/>
      <c r="Y60" s="195"/>
      <c r="Z60" s="195"/>
      <c r="AA60" s="195"/>
    </row>
    <row r="61" ht="20.25" customHeight="1">
      <c r="A61" s="192" t="s">
        <v>234</v>
      </c>
      <c r="B61" s="118">
        <v>46171.0</v>
      </c>
      <c r="C61" s="119"/>
      <c r="D61" s="119" t="s">
        <v>435</v>
      </c>
      <c r="E61" s="119" t="s">
        <v>110</v>
      </c>
      <c r="F61" s="119" t="s">
        <v>96</v>
      </c>
      <c r="G61" s="119" t="s">
        <v>50</v>
      </c>
      <c r="H61" s="119"/>
      <c r="I61" s="117">
        <v>1791.0</v>
      </c>
      <c r="J61" s="118"/>
      <c r="K61" s="46"/>
      <c r="L61" s="46"/>
      <c r="M61" s="46"/>
      <c r="N61" s="117"/>
      <c r="O61" s="119"/>
      <c r="P61" s="119"/>
      <c r="Q61" s="120"/>
      <c r="R61" s="193"/>
      <c r="S61" s="194"/>
      <c r="T61" s="195"/>
      <c r="U61" s="195"/>
      <c r="V61" s="195"/>
      <c r="W61" s="195"/>
      <c r="X61" s="195"/>
      <c r="Y61" s="195"/>
      <c r="Z61" s="195"/>
      <c r="AA61" s="195"/>
    </row>
    <row r="62" ht="20.25" customHeight="1">
      <c r="A62" s="192" t="s">
        <v>121</v>
      </c>
      <c r="B62" s="118">
        <v>46171.0</v>
      </c>
      <c r="C62" s="119"/>
      <c r="D62" s="119" t="s">
        <v>436</v>
      </c>
      <c r="E62" s="119" t="s">
        <v>123</v>
      </c>
      <c r="F62" s="119" t="s">
        <v>90</v>
      </c>
      <c r="G62" s="119" t="s">
        <v>50</v>
      </c>
      <c r="H62" s="119"/>
      <c r="I62" s="117">
        <v>830.0</v>
      </c>
      <c r="J62" s="118"/>
      <c r="K62" s="46"/>
      <c r="L62" s="46"/>
      <c r="M62" s="46"/>
      <c r="N62" s="117"/>
      <c r="O62" s="119"/>
      <c r="P62" s="119"/>
      <c r="Q62" s="120"/>
      <c r="R62" s="193"/>
      <c r="S62" s="194"/>
      <c r="T62" s="195"/>
      <c r="U62" s="195"/>
      <c r="V62" s="195"/>
      <c r="W62" s="195"/>
      <c r="X62" s="195"/>
      <c r="Y62" s="195"/>
      <c r="Z62" s="195"/>
      <c r="AA62" s="195"/>
    </row>
    <row r="63" ht="20.25" customHeight="1">
      <c r="A63" s="192" t="s">
        <v>121</v>
      </c>
      <c r="B63" s="118">
        <v>46171.0</v>
      </c>
      <c r="C63" s="119"/>
      <c r="D63" s="119" t="s">
        <v>437</v>
      </c>
      <c r="E63" s="119" t="s">
        <v>123</v>
      </c>
      <c r="F63" s="119" t="s">
        <v>90</v>
      </c>
      <c r="G63" s="119" t="s">
        <v>50</v>
      </c>
      <c r="H63" s="119"/>
      <c r="I63" s="117">
        <v>330.0</v>
      </c>
      <c r="J63" s="118"/>
      <c r="K63" s="46"/>
      <c r="L63" s="46"/>
      <c r="M63" s="46"/>
      <c r="N63" s="117"/>
      <c r="O63" s="119"/>
      <c r="P63" s="119"/>
      <c r="Q63" s="120"/>
      <c r="R63" s="193"/>
      <c r="S63" s="194"/>
      <c r="T63" s="195"/>
      <c r="U63" s="195"/>
      <c r="V63" s="195"/>
      <c r="W63" s="195"/>
      <c r="X63" s="195"/>
      <c r="Y63" s="195"/>
      <c r="Z63" s="195"/>
      <c r="AA63" s="195"/>
    </row>
    <row r="64" ht="20.25" customHeight="1">
      <c r="A64" s="19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93"/>
      <c r="S64" s="194"/>
      <c r="T64" s="195"/>
      <c r="U64" s="195"/>
      <c r="V64" s="195"/>
      <c r="W64" s="195"/>
      <c r="X64" s="195"/>
      <c r="Y64" s="195"/>
      <c r="Z64" s="195"/>
      <c r="AA64" s="195"/>
    </row>
    <row r="65" ht="20.25" customHeight="1">
      <c r="A65" s="19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93"/>
      <c r="S65" s="194"/>
      <c r="T65" s="195"/>
      <c r="U65" s="195"/>
      <c r="V65" s="195"/>
      <c r="W65" s="195"/>
      <c r="X65" s="195"/>
      <c r="Y65" s="195"/>
      <c r="Z65" s="195"/>
      <c r="AA65" s="195"/>
    </row>
    <row r="66" ht="20.25" customHeight="1">
      <c r="A66" s="19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93"/>
      <c r="S66" s="194"/>
      <c r="T66" s="195"/>
      <c r="U66" s="195"/>
      <c r="V66" s="195"/>
      <c r="W66" s="195"/>
      <c r="X66" s="195"/>
      <c r="Y66" s="195"/>
      <c r="Z66" s="195"/>
      <c r="AA66" s="195"/>
    </row>
    <row r="67" ht="20.25" customHeight="1">
      <c r="A67" s="19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93"/>
      <c r="S67" s="194"/>
      <c r="T67" s="195"/>
      <c r="U67" s="195"/>
      <c r="V67" s="195"/>
      <c r="W67" s="195"/>
      <c r="X67" s="195"/>
      <c r="Y67" s="195"/>
      <c r="Z67" s="195"/>
      <c r="AA67" s="195"/>
    </row>
    <row r="68" ht="20.25" customHeight="1">
      <c r="A68" s="19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93"/>
      <c r="S68" s="194"/>
      <c r="T68" s="195"/>
      <c r="U68" s="195"/>
      <c r="V68" s="195"/>
      <c r="W68" s="195"/>
      <c r="X68" s="195"/>
      <c r="Y68" s="195"/>
      <c r="Z68" s="195"/>
      <c r="AA68" s="195"/>
    </row>
    <row r="69" ht="20.25" customHeight="1">
      <c r="A69" s="19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93"/>
      <c r="S69" s="194"/>
      <c r="T69" s="195"/>
      <c r="U69" s="195"/>
      <c r="V69" s="195"/>
      <c r="W69" s="195"/>
      <c r="X69" s="195"/>
      <c r="Y69" s="195"/>
      <c r="Z69" s="195"/>
      <c r="AA69" s="195"/>
    </row>
    <row r="70" ht="20.25" customHeight="1">
      <c r="A70" s="19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93"/>
      <c r="S70" s="194"/>
      <c r="T70" s="195"/>
      <c r="U70" s="195"/>
      <c r="V70" s="195"/>
      <c r="W70" s="195"/>
      <c r="X70" s="195"/>
      <c r="Y70" s="195"/>
      <c r="Z70" s="195"/>
      <c r="AA70" s="195"/>
    </row>
    <row r="71" ht="20.25" customHeight="1">
      <c r="A71" s="19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93"/>
      <c r="S71" s="194"/>
      <c r="T71" s="195"/>
      <c r="U71" s="195"/>
      <c r="V71" s="195"/>
      <c r="W71" s="195"/>
      <c r="X71" s="195"/>
      <c r="Y71" s="195"/>
      <c r="Z71" s="195"/>
      <c r="AA71" s="195"/>
    </row>
    <row r="72" ht="20.25" customHeight="1">
      <c r="A72" s="19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93"/>
      <c r="S72" s="194"/>
      <c r="T72" s="195"/>
      <c r="U72" s="195"/>
      <c r="V72" s="195"/>
      <c r="W72" s="195"/>
      <c r="X72" s="195"/>
      <c r="Y72" s="195"/>
      <c r="Z72" s="195"/>
      <c r="AA72" s="195"/>
    </row>
    <row r="73" ht="20.25" customHeight="1">
      <c r="A73" s="19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93"/>
      <c r="S73" s="194"/>
      <c r="T73" s="195"/>
      <c r="U73" s="195"/>
      <c r="V73" s="195"/>
      <c r="W73" s="195"/>
      <c r="X73" s="195"/>
      <c r="Y73" s="195"/>
      <c r="Z73" s="195"/>
      <c r="AA73" s="195"/>
    </row>
    <row r="74" ht="20.25" customHeight="1">
      <c r="A74" s="19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93"/>
      <c r="S74" s="194"/>
      <c r="T74" s="195"/>
      <c r="U74" s="195"/>
      <c r="V74" s="195"/>
      <c r="W74" s="195"/>
      <c r="X74" s="195"/>
      <c r="Y74" s="195"/>
      <c r="Z74" s="195"/>
      <c r="AA74" s="195"/>
    </row>
    <row r="75" ht="20.25" customHeight="1">
      <c r="A75" s="19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93"/>
      <c r="S75" s="194"/>
      <c r="T75" s="195"/>
      <c r="U75" s="195"/>
      <c r="V75" s="195"/>
      <c r="W75" s="195"/>
      <c r="X75" s="195"/>
      <c r="Y75" s="195"/>
      <c r="Z75" s="195"/>
      <c r="AA75" s="195"/>
    </row>
    <row r="76" ht="20.25" customHeight="1">
      <c r="A76" s="19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93"/>
      <c r="S76" s="194"/>
      <c r="T76" s="195"/>
      <c r="U76" s="195"/>
      <c r="V76" s="195"/>
      <c r="W76" s="195"/>
      <c r="X76" s="195"/>
      <c r="Y76" s="195"/>
      <c r="Z76" s="195"/>
      <c r="AA76" s="195"/>
    </row>
    <row r="77" ht="20.25" customHeight="1">
      <c r="A77" s="19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93"/>
      <c r="S77" s="194"/>
      <c r="T77" s="195"/>
      <c r="U77" s="195"/>
      <c r="V77" s="195"/>
      <c r="W77" s="195"/>
      <c r="X77" s="195"/>
      <c r="Y77" s="195"/>
      <c r="Z77" s="195"/>
      <c r="AA77" s="195"/>
    </row>
    <row r="78" ht="20.25" customHeight="1">
      <c r="A78" s="19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93"/>
      <c r="S78" s="194"/>
      <c r="T78" s="195"/>
      <c r="U78" s="195"/>
      <c r="V78" s="195"/>
      <c r="W78" s="195"/>
      <c r="X78" s="195"/>
      <c r="Y78" s="195"/>
      <c r="Z78" s="195"/>
      <c r="AA78" s="195"/>
    </row>
    <row r="79" ht="20.25" customHeight="1">
      <c r="A79" s="19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93"/>
      <c r="S79" s="194"/>
      <c r="T79" s="195"/>
      <c r="U79" s="195"/>
      <c r="V79" s="195"/>
      <c r="W79" s="195"/>
      <c r="X79" s="195"/>
      <c r="Y79" s="195"/>
      <c r="Z79" s="195"/>
      <c r="AA79" s="195"/>
    </row>
    <row r="80" ht="20.25" customHeight="1">
      <c r="A80" s="19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93"/>
      <c r="S80" s="194"/>
      <c r="T80" s="195"/>
      <c r="U80" s="195"/>
      <c r="V80" s="195"/>
      <c r="W80" s="195"/>
      <c r="X80" s="195"/>
      <c r="Y80" s="195"/>
      <c r="Z80" s="195"/>
      <c r="AA80" s="195"/>
    </row>
    <row r="81" ht="20.25" customHeight="1">
      <c r="A81" s="192"/>
      <c r="B81" s="118"/>
      <c r="C81" s="119"/>
      <c r="D81" s="120"/>
      <c r="E81" s="119"/>
      <c r="F81" s="119"/>
      <c r="G81" s="119"/>
      <c r="H81" s="119"/>
      <c r="I81" s="117"/>
      <c r="J81" s="118"/>
      <c r="K81" s="46"/>
      <c r="L81" s="46"/>
      <c r="M81" s="46"/>
      <c r="N81" s="117"/>
      <c r="O81" s="119"/>
      <c r="P81" s="119"/>
      <c r="Q81" s="120"/>
      <c r="R81" s="193"/>
      <c r="S81" s="194"/>
      <c r="T81" s="195"/>
      <c r="U81" s="195"/>
      <c r="V81" s="195"/>
      <c r="W81" s="195"/>
      <c r="X81" s="195"/>
      <c r="Y81" s="195"/>
      <c r="Z81" s="195"/>
      <c r="AA81" s="195"/>
    </row>
    <row r="82" ht="20.25" customHeight="1">
      <c r="A82" s="192"/>
      <c r="B82" s="118"/>
      <c r="C82" s="119"/>
      <c r="D82" s="120"/>
      <c r="E82" s="119"/>
      <c r="F82" s="119"/>
      <c r="G82" s="119"/>
      <c r="H82" s="119"/>
      <c r="I82" s="117"/>
      <c r="J82" s="118"/>
      <c r="K82" s="46"/>
      <c r="L82" s="46"/>
      <c r="M82" s="46"/>
      <c r="N82" s="117"/>
      <c r="O82" s="119"/>
      <c r="P82" s="119"/>
      <c r="Q82" s="120"/>
      <c r="R82" s="193"/>
      <c r="S82" s="194"/>
      <c r="T82" s="195"/>
      <c r="U82" s="195"/>
      <c r="V82" s="195"/>
      <c r="W82" s="195"/>
      <c r="X82" s="195"/>
      <c r="Y82" s="195"/>
      <c r="Z82" s="195"/>
      <c r="AA82" s="195"/>
    </row>
    <row r="83" ht="20.25" customHeight="1">
      <c r="A83" s="227"/>
      <c r="B83" s="228"/>
      <c r="C83" s="229"/>
      <c r="D83" s="230"/>
      <c r="E83" s="229"/>
      <c r="F83" s="229"/>
      <c r="G83" s="229"/>
      <c r="H83" s="229"/>
      <c r="I83" s="231"/>
      <c r="J83" s="228"/>
      <c r="K83" s="228"/>
      <c r="L83" s="228"/>
      <c r="M83" s="228"/>
      <c r="N83" s="231"/>
      <c r="O83" s="229"/>
      <c r="P83" s="229"/>
      <c r="Q83" s="230"/>
      <c r="R83" s="21"/>
      <c r="S83" s="232"/>
      <c r="T83" s="233"/>
      <c r="U83" s="233"/>
      <c r="V83" s="233"/>
      <c r="W83" s="233"/>
      <c r="X83" s="233"/>
      <c r="Y83" s="233"/>
      <c r="Z83" s="233"/>
      <c r="AA83" s="233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</sheetData>
  <mergeCells count="82"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69:M69"/>
    <mergeCell ref="J70:M70"/>
    <mergeCell ref="J78:M78"/>
    <mergeCell ref="J79:M79"/>
    <mergeCell ref="J80:M80"/>
    <mergeCell ref="J81:M81"/>
    <mergeCell ref="J82:M82"/>
    <mergeCell ref="J71:M71"/>
    <mergeCell ref="J72:M72"/>
    <mergeCell ref="J73:M73"/>
    <mergeCell ref="J74:M74"/>
    <mergeCell ref="J75:M75"/>
    <mergeCell ref="J76:M76"/>
    <mergeCell ref="J77:M77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  <mergeCell ref="J49:M49"/>
  </mergeCells>
  <conditionalFormatting sqref="C11:C83 E11:E83 G11:G83">
    <cfRule type="expression" dxfId="10" priority="1">
      <formula>$A11="NESSUNA VENDITA"</formula>
    </cfRule>
  </conditionalFormatting>
  <conditionalFormatting sqref="A11:AA83">
    <cfRule type="expression" dxfId="8" priority="2">
      <formula>$A11="ATTESA DOCUMENTAZIONE"</formula>
    </cfRule>
  </conditionalFormatting>
  <conditionalFormatting sqref="A11:AA83">
    <cfRule type="expression" dxfId="9" priority="3">
      <formula>$A11="ATTESA OK ANESTESISTI"</formula>
    </cfRule>
  </conditionalFormatting>
  <conditionalFormatting sqref="A11:AA83">
    <cfRule type="expression" dxfId="11" priority="4">
      <formula>$A11="RICHIAMERA' / RICHIAMARE"</formula>
    </cfRule>
  </conditionalFormatting>
  <conditionalFormatting sqref="A11:AA83">
    <cfRule type="expression" dxfId="18" priority="5">
      <formula>$A11="INZIA IL TRATTAMENTO-VENDITA"</formula>
    </cfRule>
  </conditionalFormatting>
  <conditionalFormatting sqref="A11:AA83">
    <cfRule type="expression" dxfId="8" priority="6">
      <formula>$A11="APPUNTAMENTO PER INZIARE TRATTAMENTO=PAGAMENTO/DOCUMENTAZIONE"</formula>
    </cfRule>
  </conditionalFormatting>
  <conditionalFormatting sqref="A11:AA83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3">
    <cfRule type="expression" dxfId="14" priority="9">
      <formula>$A11="PAZIENTE SANO"</formula>
    </cfRule>
  </conditionalFormatting>
  <conditionalFormatting sqref="A11:AA83">
    <cfRule type="expression" dxfId="9" priority="10">
      <formula>$A11="IN ATTESA OK ANESTESISTI MALGRATE"</formula>
    </cfRule>
  </conditionalFormatting>
  <conditionalFormatting sqref="A11:AA83">
    <cfRule type="expression" dxfId="15" priority="11">
      <formula>$A11="NON SI PRESENTA ALL'APPUNTAMENTO"</formula>
    </cfRule>
  </conditionalFormatting>
  <conditionalFormatting sqref="A11:AA83">
    <cfRule type="expression" dxfId="16" priority="12">
      <formula>$A11="CONSULTO COMMERCIALE/CLINICO"</formula>
    </cfRule>
  </conditionalFormatting>
  <dataValidations>
    <dataValidation type="list" allowBlank="1" showErrorMessage="1" sqref="C11:C83">
      <formula1>'Elenco Dip Sedi'!$D$5:$D$32</formula1>
    </dataValidation>
    <dataValidation type="list" allowBlank="1" showErrorMessage="1" sqref="O11:O83">
      <formula1>"x PRESTAZIONE,ACC + DILAZIONE,DILAZIONATO, ELYGHT,UNICO,PAGODIL"</formula1>
    </dataValidation>
    <dataValidation type="list" allowBlank="1" showErrorMessage="1" sqref="G11:G83">
      <formula1>'Elenco Dip Sedi'!$C$5:$C$32</formula1>
    </dataValidation>
    <dataValidation type="list" allowBlank="1" showErrorMessage="1" sqref="P11:P83">
      <formula1>'Elenco Dip Sedi'!$K$5:$K$32</formula1>
    </dataValidation>
    <dataValidation type="list" allowBlank="1" showErrorMessage="1" sqref="H11:H83">
      <formula1>"ANNIBALDI,DEL PRETE,EMANUELE,FRACANZANI,FRASCA,MALTESE,PLINI,SALERNO,VENNETTELLI,VESPASIANO"</formula1>
    </dataValidation>
    <dataValidation type="list" allowBlank="1" showErrorMessage="1" sqref="A11:A83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E11:E83">
      <formula1>'Elenco Dip Sedi'!$N$5:$N$32</formula1>
    </dataValidation>
    <dataValidation type="list" allowBlank="1" showErrorMessage="1" sqref="F11:F83">
      <formula1>"M,F"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4.2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A1" s="234" t="s">
        <v>438</v>
      </c>
      <c r="C1" s="57"/>
      <c r="D1" s="156" t="s">
        <v>66</v>
      </c>
      <c r="E1" s="157" t="s">
        <v>67</v>
      </c>
      <c r="F1" s="53"/>
      <c r="G1" s="158" t="s">
        <v>103</v>
      </c>
      <c r="H1" s="159"/>
      <c r="I1" s="55"/>
      <c r="J1" s="56"/>
      <c r="L1" s="56"/>
      <c r="M1" s="57"/>
      <c r="N1" s="58"/>
      <c r="O1" s="59"/>
      <c r="P1" s="60"/>
      <c r="Q1" s="61"/>
    </row>
    <row r="2" ht="20.25" customHeight="1">
      <c r="D2" s="160"/>
      <c r="E2" s="160"/>
      <c r="F2" s="53"/>
      <c r="G2" s="161"/>
      <c r="H2" s="162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63"/>
      <c r="E3" s="164"/>
      <c r="F3" s="53"/>
      <c r="G3" s="57"/>
      <c r="H3" s="57"/>
      <c r="I3" s="70"/>
      <c r="J3" s="165"/>
      <c r="K3" s="165"/>
      <c r="L3" s="165"/>
      <c r="M3" s="166"/>
      <c r="N3" s="167"/>
      <c r="O3" s="72"/>
      <c r="P3" s="69"/>
      <c r="Q3" s="61"/>
    </row>
    <row r="4" ht="21.0" customHeight="1">
      <c r="D4" s="168"/>
      <c r="E4" s="169"/>
      <c r="F4" s="84"/>
      <c r="G4" s="84"/>
      <c r="H4" s="84"/>
      <c r="I4" s="170"/>
      <c r="J4" s="171"/>
      <c r="K4" s="171"/>
      <c r="L4" s="171"/>
      <c r="M4" s="78"/>
      <c r="N4" s="89"/>
      <c r="O4" s="172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73"/>
      <c r="E5" s="174"/>
      <c r="F5" s="175"/>
      <c r="G5" s="176"/>
      <c r="H5" s="177"/>
      <c r="I5" s="178"/>
      <c r="J5" s="179" t="s">
        <v>104</v>
      </c>
      <c r="L5" s="180"/>
      <c r="M5" s="181"/>
      <c r="N5" s="182"/>
      <c r="O5" s="183"/>
      <c r="P5" s="184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99"/>
      <c r="E6" s="77"/>
      <c r="F6" s="76"/>
      <c r="G6" s="77"/>
      <c r="H6" s="78"/>
      <c r="I6" s="80" t="s">
        <v>105</v>
      </c>
      <c r="L6" s="186">
        <f>SUMIF(A11:A140,"INZIA IL TRATTAMENTO-VENDITA", I11:I140)</f>
        <v>27051</v>
      </c>
      <c r="M6" s="187"/>
      <c r="O6" s="82"/>
      <c r="P6" s="18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89" t="s">
        <v>106</v>
      </c>
      <c r="K7" s="78"/>
      <c r="L7" s="190">
        <f>L6+SUMIFS('OPPORTUNITA DI VENDITA'!J198:J513,'OPPORTUNITA DI VENDITA'!C198:C513, "&gt;=01/06/2026", 'OPPORTUNITA DI VENDITA'!C198:C513, "&lt;=30/06/2026",'OPPORTUNITA DI VENDITA'!B198:B513,"ESEGUITO")</f>
        <v>46881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105" t="s">
        <v>107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91"/>
      <c r="C10" s="191"/>
      <c r="D10" s="191"/>
      <c r="E10" s="191"/>
      <c r="F10" s="114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0.25" customHeight="1">
      <c r="A11" s="226" t="s">
        <v>121</v>
      </c>
      <c r="B11" s="118">
        <v>46176.0</v>
      </c>
      <c r="C11" s="119"/>
      <c r="D11" s="119" t="s">
        <v>439</v>
      </c>
      <c r="E11" s="119" t="s">
        <v>128</v>
      </c>
      <c r="F11" s="119" t="s">
        <v>90</v>
      </c>
      <c r="G11" s="119" t="s">
        <v>54</v>
      </c>
      <c r="H11" s="119"/>
      <c r="I11" s="117">
        <v>560.0</v>
      </c>
      <c r="J11" s="118"/>
      <c r="K11" s="46"/>
      <c r="L11" s="46"/>
      <c r="M11" s="46"/>
      <c r="N11" s="117"/>
      <c r="O11" s="119"/>
      <c r="P11" s="119"/>
      <c r="Q11" s="120"/>
      <c r="R11" s="193"/>
      <c r="S11" s="194"/>
      <c r="T11" s="195"/>
      <c r="U11" s="195"/>
      <c r="V11" s="195"/>
      <c r="W11" s="195"/>
      <c r="X11" s="195"/>
      <c r="Y11" s="195"/>
      <c r="Z11" s="195"/>
      <c r="AA11" s="195"/>
    </row>
    <row r="12" ht="20.25" customHeight="1">
      <c r="A12" s="192" t="s">
        <v>121</v>
      </c>
      <c r="B12" s="118">
        <v>46176.0</v>
      </c>
      <c r="C12" s="119"/>
      <c r="D12" s="119" t="s">
        <v>440</v>
      </c>
      <c r="E12" s="119" t="s">
        <v>113</v>
      </c>
      <c r="F12" s="119" t="s">
        <v>90</v>
      </c>
      <c r="G12" s="119" t="s">
        <v>49</v>
      </c>
      <c r="H12" s="119"/>
      <c r="I12" s="117">
        <v>1490.0</v>
      </c>
      <c r="J12" s="118"/>
      <c r="K12" s="46"/>
      <c r="L12" s="46"/>
      <c r="M12" s="46"/>
      <c r="N12" s="117"/>
      <c r="O12" s="119"/>
      <c r="P12" s="119" t="s">
        <v>158</v>
      </c>
      <c r="Q12" s="120"/>
      <c r="R12" s="193"/>
      <c r="S12" s="194"/>
      <c r="T12" s="195"/>
      <c r="U12" s="195"/>
      <c r="V12" s="195"/>
      <c r="W12" s="195"/>
      <c r="X12" s="195"/>
      <c r="Y12" s="195"/>
      <c r="Z12" s="195"/>
      <c r="AA12" s="195"/>
    </row>
    <row r="13" ht="20.25" customHeight="1">
      <c r="A13" s="192" t="s">
        <v>121</v>
      </c>
      <c r="B13" s="118">
        <v>46177.0</v>
      </c>
      <c r="C13" s="119"/>
      <c r="D13" s="119" t="s">
        <v>441</v>
      </c>
      <c r="E13" s="119" t="s">
        <v>128</v>
      </c>
      <c r="F13" s="119" t="s">
        <v>96</v>
      </c>
      <c r="G13" s="119" t="s">
        <v>56</v>
      </c>
      <c r="H13" s="119"/>
      <c r="I13" s="117">
        <v>50.0</v>
      </c>
      <c r="J13" s="118"/>
      <c r="K13" s="46"/>
      <c r="L13" s="46"/>
      <c r="M13" s="46"/>
      <c r="N13" s="117"/>
      <c r="O13" s="119"/>
      <c r="P13" s="119" t="s">
        <v>119</v>
      </c>
      <c r="Q13" s="120"/>
      <c r="R13" s="193"/>
      <c r="S13" s="194"/>
      <c r="T13" s="195"/>
      <c r="U13" s="195"/>
      <c r="V13" s="195"/>
      <c r="W13" s="195"/>
      <c r="X13" s="195"/>
      <c r="Y13" s="195"/>
      <c r="Z13" s="195"/>
      <c r="AA13" s="195"/>
    </row>
    <row r="14" ht="20.25" customHeight="1">
      <c r="A14" s="192" t="s">
        <v>121</v>
      </c>
      <c r="B14" s="118">
        <v>46177.0</v>
      </c>
      <c r="C14" s="119"/>
      <c r="D14" s="119" t="s">
        <v>442</v>
      </c>
      <c r="E14" s="119" t="s">
        <v>128</v>
      </c>
      <c r="F14" s="119" t="s">
        <v>90</v>
      </c>
      <c r="G14" s="119" t="s">
        <v>56</v>
      </c>
      <c r="H14" s="119"/>
      <c r="I14" s="117">
        <v>50.0</v>
      </c>
      <c r="J14" s="118"/>
      <c r="K14" s="46"/>
      <c r="L14" s="46"/>
      <c r="M14" s="46"/>
      <c r="N14" s="117"/>
      <c r="O14" s="119"/>
      <c r="P14" s="119" t="s">
        <v>119</v>
      </c>
      <c r="Q14" s="120"/>
      <c r="R14" s="193"/>
      <c r="S14" s="194"/>
      <c r="T14" s="195"/>
      <c r="U14" s="195"/>
      <c r="V14" s="195"/>
      <c r="W14" s="195"/>
      <c r="X14" s="195"/>
      <c r="Y14" s="195"/>
      <c r="Z14" s="195"/>
      <c r="AA14" s="195"/>
    </row>
    <row r="15" ht="20.25" customHeight="1">
      <c r="A15" s="192" t="s">
        <v>121</v>
      </c>
      <c r="B15" s="118">
        <v>46182.0</v>
      </c>
      <c r="C15" s="119"/>
      <c r="D15" s="119" t="s">
        <v>443</v>
      </c>
      <c r="E15" s="119" t="s">
        <v>397</v>
      </c>
      <c r="F15" s="119" t="s">
        <v>90</v>
      </c>
      <c r="G15" s="119" t="s">
        <v>398</v>
      </c>
      <c r="H15" s="119"/>
      <c r="I15" s="117">
        <v>110.0</v>
      </c>
      <c r="J15" s="118"/>
      <c r="K15" s="46"/>
      <c r="L15" s="46"/>
      <c r="M15" s="46"/>
      <c r="N15" s="117"/>
      <c r="O15" s="119"/>
      <c r="P15" s="119" t="s">
        <v>119</v>
      </c>
      <c r="Q15" s="120"/>
      <c r="R15" s="193"/>
      <c r="S15" s="194"/>
      <c r="T15" s="195"/>
      <c r="U15" s="195"/>
      <c r="V15" s="195"/>
      <c r="W15" s="195"/>
      <c r="X15" s="195"/>
      <c r="Y15" s="195"/>
      <c r="Z15" s="195"/>
      <c r="AA15" s="195"/>
    </row>
    <row r="16" ht="20.25" customHeight="1">
      <c r="A16" s="192" t="s">
        <v>108</v>
      </c>
      <c r="B16" s="118">
        <v>46182.0</v>
      </c>
      <c r="C16" s="119"/>
      <c r="D16" s="119" t="s">
        <v>444</v>
      </c>
      <c r="E16" s="119" t="s">
        <v>110</v>
      </c>
      <c r="F16" s="119" t="s">
        <v>90</v>
      </c>
      <c r="G16" s="119" t="s">
        <v>398</v>
      </c>
      <c r="H16" s="119"/>
      <c r="I16" s="117">
        <v>380.0</v>
      </c>
      <c r="J16" s="118"/>
      <c r="K16" s="46"/>
      <c r="L16" s="46"/>
      <c r="M16" s="46"/>
      <c r="N16" s="117"/>
      <c r="O16" s="119"/>
      <c r="P16" s="119"/>
      <c r="Q16" s="120"/>
      <c r="R16" s="193"/>
      <c r="S16" s="194"/>
      <c r="T16" s="195"/>
      <c r="U16" s="195"/>
      <c r="V16" s="195"/>
      <c r="W16" s="195"/>
      <c r="X16" s="195"/>
      <c r="Y16" s="195"/>
      <c r="Z16" s="195"/>
      <c r="AA16" s="195"/>
    </row>
    <row r="17" ht="20.25" customHeight="1">
      <c r="A17" s="192" t="s">
        <v>108</v>
      </c>
      <c r="B17" s="118">
        <v>46182.0</v>
      </c>
      <c r="C17" s="119"/>
      <c r="D17" s="119" t="s">
        <v>445</v>
      </c>
      <c r="E17" s="119" t="s">
        <v>110</v>
      </c>
      <c r="F17" s="119" t="s">
        <v>96</v>
      </c>
      <c r="G17" s="119" t="s">
        <v>398</v>
      </c>
      <c r="H17" s="119"/>
      <c r="I17" s="235">
        <v>1150.0</v>
      </c>
      <c r="J17" s="118"/>
      <c r="K17" s="46"/>
      <c r="L17" s="46"/>
      <c r="M17" s="46"/>
      <c r="N17" s="117"/>
      <c r="O17" s="119"/>
      <c r="P17" s="119"/>
      <c r="Q17" s="120"/>
      <c r="R17" s="193"/>
      <c r="S17" s="194"/>
      <c r="T17" s="195"/>
      <c r="U17" s="195"/>
      <c r="V17" s="195"/>
      <c r="W17" s="195"/>
      <c r="X17" s="195"/>
      <c r="Y17" s="195"/>
      <c r="Z17" s="195"/>
      <c r="AA17" s="195"/>
    </row>
    <row r="18" ht="20.25" customHeight="1">
      <c r="A18" s="192" t="s">
        <v>234</v>
      </c>
      <c r="B18" s="118">
        <v>46182.0</v>
      </c>
      <c r="C18" s="119"/>
      <c r="D18" s="119" t="s">
        <v>446</v>
      </c>
      <c r="E18" s="119" t="s">
        <v>397</v>
      </c>
      <c r="F18" s="119" t="s">
        <v>96</v>
      </c>
      <c r="G18" s="119" t="s">
        <v>398</v>
      </c>
      <c r="H18" s="119"/>
      <c r="I18" s="117">
        <v>2150.0</v>
      </c>
      <c r="J18" s="118"/>
      <c r="K18" s="46"/>
      <c r="L18" s="46"/>
      <c r="M18" s="46"/>
      <c r="N18" s="117"/>
      <c r="O18" s="119"/>
      <c r="P18" s="119"/>
      <c r="Q18" s="120"/>
      <c r="R18" s="193"/>
      <c r="S18" s="194"/>
      <c r="T18" s="195"/>
      <c r="U18" s="195"/>
      <c r="V18" s="195"/>
      <c r="W18" s="195"/>
      <c r="X18" s="195"/>
      <c r="Y18" s="195"/>
      <c r="Z18" s="195"/>
      <c r="AA18" s="195"/>
    </row>
    <row r="19" ht="20.25" customHeight="1">
      <c r="A19" s="192" t="s">
        <v>121</v>
      </c>
      <c r="B19" s="118">
        <v>46182.0</v>
      </c>
      <c r="C19" s="119"/>
      <c r="D19" s="119" t="s">
        <v>447</v>
      </c>
      <c r="E19" s="119" t="s">
        <v>110</v>
      </c>
      <c r="F19" s="119" t="s">
        <v>90</v>
      </c>
      <c r="G19" s="119" t="s">
        <v>398</v>
      </c>
      <c r="H19" s="119"/>
      <c r="I19" s="117">
        <v>1421.0</v>
      </c>
      <c r="J19" s="118"/>
      <c r="K19" s="46"/>
      <c r="L19" s="46"/>
      <c r="M19" s="46"/>
      <c r="N19" s="117"/>
      <c r="O19" s="119"/>
      <c r="P19" s="119" t="s">
        <v>195</v>
      </c>
      <c r="Q19" s="120"/>
      <c r="R19" s="193"/>
      <c r="S19" s="194"/>
      <c r="T19" s="195"/>
      <c r="U19" s="195"/>
      <c r="V19" s="195"/>
      <c r="W19" s="195"/>
      <c r="X19" s="195"/>
      <c r="Y19" s="195"/>
      <c r="Z19" s="195"/>
      <c r="AA19" s="195"/>
    </row>
    <row r="20" ht="20.25" customHeight="1">
      <c r="A20" s="192" t="s">
        <v>121</v>
      </c>
      <c r="B20" s="118">
        <v>46182.0</v>
      </c>
      <c r="C20" s="119"/>
      <c r="D20" s="119" t="s">
        <v>448</v>
      </c>
      <c r="E20" s="119" t="s">
        <v>128</v>
      </c>
      <c r="F20" s="119" t="s">
        <v>90</v>
      </c>
      <c r="G20" s="119" t="s">
        <v>50</v>
      </c>
      <c r="H20" s="119"/>
      <c r="I20" s="117">
        <v>500.0</v>
      </c>
      <c r="J20" s="118"/>
      <c r="K20" s="46"/>
      <c r="L20" s="46"/>
      <c r="M20" s="46"/>
      <c r="N20" s="117"/>
      <c r="O20" s="119"/>
      <c r="P20" s="119" t="s">
        <v>119</v>
      </c>
      <c r="Q20" s="120"/>
      <c r="R20" s="193"/>
      <c r="S20" s="194"/>
      <c r="T20" s="195"/>
      <c r="U20" s="195"/>
      <c r="V20" s="195"/>
      <c r="W20" s="195"/>
      <c r="X20" s="195"/>
      <c r="Y20" s="195"/>
      <c r="Z20" s="195"/>
      <c r="AA20" s="195"/>
    </row>
    <row r="21" ht="20.25" customHeight="1">
      <c r="A21" s="192" t="s">
        <v>121</v>
      </c>
      <c r="B21" s="118">
        <v>46183.0</v>
      </c>
      <c r="C21" s="119"/>
      <c r="D21" s="119" t="s">
        <v>449</v>
      </c>
      <c r="E21" s="119" t="s">
        <v>110</v>
      </c>
      <c r="F21" s="119" t="s">
        <v>90</v>
      </c>
      <c r="G21" s="119" t="s">
        <v>54</v>
      </c>
      <c r="H21" s="119"/>
      <c r="I21" s="117">
        <v>80.0</v>
      </c>
      <c r="J21" s="118"/>
      <c r="K21" s="46"/>
      <c r="L21" s="46"/>
      <c r="M21" s="46"/>
      <c r="N21" s="117"/>
      <c r="O21" s="119"/>
      <c r="P21" s="119" t="s">
        <v>119</v>
      </c>
      <c r="Q21" s="120"/>
      <c r="R21" s="193"/>
      <c r="S21" s="194"/>
      <c r="T21" s="195"/>
      <c r="U21" s="195"/>
      <c r="V21" s="195"/>
      <c r="W21" s="195"/>
      <c r="X21" s="195"/>
      <c r="Y21" s="195"/>
      <c r="Z21" s="195"/>
      <c r="AA21" s="195"/>
    </row>
    <row r="22" ht="20.25" customHeight="1">
      <c r="A22" s="192" t="s">
        <v>121</v>
      </c>
      <c r="B22" s="118">
        <v>46183.0</v>
      </c>
      <c r="C22" s="119"/>
      <c r="D22" s="119" t="s">
        <v>450</v>
      </c>
      <c r="E22" s="119" t="s">
        <v>123</v>
      </c>
      <c r="F22" s="119" t="s">
        <v>90</v>
      </c>
      <c r="G22" s="119" t="s">
        <v>50</v>
      </c>
      <c r="H22" s="119"/>
      <c r="I22" s="117">
        <v>230.0</v>
      </c>
      <c r="J22" s="118"/>
      <c r="K22" s="46"/>
      <c r="L22" s="46"/>
      <c r="M22" s="46"/>
      <c r="N22" s="117"/>
      <c r="O22" s="119"/>
      <c r="P22" s="119" t="s">
        <v>119</v>
      </c>
      <c r="Q22" s="120"/>
      <c r="R22" s="193"/>
      <c r="S22" s="194"/>
      <c r="T22" s="195"/>
      <c r="U22" s="195"/>
      <c r="V22" s="195"/>
      <c r="W22" s="195"/>
      <c r="X22" s="195"/>
      <c r="Y22" s="195"/>
      <c r="Z22" s="195"/>
      <c r="AA22" s="195"/>
    </row>
    <row r="23" ht="20.25" customHeight="1">
      <c r="A23" s="192" t="s">
        <v>121</v>
      </c>
      <c r="B23" s="118">
        <v>46183.0</v>
      </c>
      <c r="C23" s="119"/>
      <c r="D23" s="119" t="s">
        <v>451</v>
      </c>
      <c r="E23" s="119" t="s">
        <v>113</v>
      </c>
      <c r="F23" s="119" t="s">
        <v>90</v>
      </c>
      <c r="G23" s="119" t="s">
        <v>49</v>
      </c>
      <c r="H23" s="119"/>
      <c r="I23" s="117">
        <v>2690.0</v>
      </c>
      <c r="J23" s="118"/>
      <c r="K23" s="46"/>
      <c r="L23" s="46"/>
      <c r="M23" s="46"/>
      <c r="N23" s="117"/>
      <c r="O23" s="119"/>
      <c r="P23" s="119" t="s">
        <v>101</v>
      </c>
      <c r="Q23" s="120"/>
      <c r="R23" s="193"/>
      <c r="S23" s="194"/>
      <c r="T23" s="195"/>
      <c r="U23" s="195"/>
      <c r="V23" s="195"/>
      <c r="W23" s="195"/>
      <c r="X23" s="195"/>
      <c r="Y23" s="195"/>
      <c r="Z23" s="195"/>
      <c r="AA23" s="195"/>
    </row>
    <row r="24" ht="20.25" customHeight="1">
      <c r="A24" s="192" t="s">
        <v>121</v>
      </c>
      <c r="B24" s="118">
        <v>46183.0</v>
      </c>
      <c r="C24" s="119"/>
      <c r="D24" s="119" t="s">
        <v>452</v>
      </c>
      <c r="E24" s="119" t="s">
        <v>126</v>
      </c>
      <c r="F24" s="119" t="s">
        <v>90</v>
      </c>
      <c r="G24" s="119" t="s">
        <v>50</v>
      </c>
      <c r="H24" s="119"/>
      <c r="I24" s="117">
        <v>3650.0</v>
      </c>
      <c r="J24" s="118"/>
      <c r="K24" s="46"/>
      <c r="L24" s="46"/>
      <c r="M24" s="46"/>
      <c r="N24" s="117"/>
      <c r="O24" s="119"/>
      <c r="P24" s="119" t="s">
        <v>101</v>
      </c>
      <c r="Q24" s="120"/>
      <c r="R24" s="193"/>
      <c r="S24" s="194"/>
      <c r="T24" s="195"/>
      <c r="U24" s="195"/>
      <c r="V24" s="195"/>
      <c r="W24" s="195"/>
      <c r="X24" s="195"/>
      <c r="Y24" s="195"/>
      <c r="Z24" s="195"/>
      <c r="AA24" s="195"/>
    </row>
    <row r="25" ht="20.25" customHeight="1">
      <c r="A25" s="192" t="s">
        <v>121</v>
      </c>
      <c r="B25" s="118">
        <v>46183.0</v>
      </c>
      <c r="C25" s="119"/>
      <c r="D25" s="119" t="s">
        <v>453</v>
      </c>
      <c r="E25" s="119" t="s">
        <v>126</v>
      </c>
      <c r="F25" s="119" t="s">
        <v>96</v>
      </c>
      <c r="G25" s="119" t="s">
        <v>50</v>
      </c>
      <c r="H25" s="119"/>
      <c r="I25" s="117">
        <v>5000.0</v>
      </c>
      <c r="J25" s="118"/>
      <c r="K25" s="46"/>
      <c r="L25" s="46"/>
      <c r="M25" s="46"/>
      <c r="N25" s="117"/>
      <c r="O25" s="119"/>
      <c r="P25" s="119" t="s">
        <v>97</v>
      </c>
      <c r="Q25" s="120"/>
      <c r="R25" s="193"/>
      <c r="S25" s="194"/>
      <c r="T25" s="195"/>
      <c r="U25" s="195"/>
      <c r="V25" s="195"/>
      <c r="W25" s="195"/>
      <c r="X25" s="195"/>
      <c r="Y25" s="195"/>
      <c r="Z25" s="195"/>
      <c r="AA25" s="195"/>
    </row>
    <row r="26" ht="20.25" customHeight="1">
      <c r="A26" s="192" t="s">
        <v>234</v>
      </c>
      <c r="B26" s="118">
        <v>46184.0</v>
      </c>
      <c r="C26" s="119"/>
      <c r="D26" s="119" t="s">
        <v>454</v>
      </c>
      <c r="E26" s="119" t="s">
        <v>128</v>
      </c>
      <c r="F26" s="119" t="s">
        <v>90</v>
      </c>
      <c r="G26" s="119" t="s">
        <v>58</v>
      </c>
      <c r="H26" s="119"/>
      <c r="I26" s="117">
        <v>4563.0</v>
      </c>
      <c r="J26" s="118"/>
      <c r="K26" s="46"/>
      <c r="L26" s="46"/>
      <c r="M26" s="46"/>
      <c r="N26" s="117"/>
      <c r="O26" s="119"/>
      <c r="P26" s="119"/>
      <c r="Q26" s="120"/>
      <c r="R26" s="193"/>
      <c r="S26" s="194"/>
      <c r="T26" s="195"/>
      <c r="U26" s="195"/>
      <c r="V26" s="195"/>
      <c r="W26" s="195"/>
      <c r="X26" s="195"/>
      <c r="Y26" s="195"/>
      <c r="Z26" s="195"/>
      <c r="AA26" s="195"/>
    </row>
    <row r="27" ht="20.25" customHeight="1">
      <c r="A27" s="192" t="s">
        <v>121</v>
      </c>
      <c r="B27" s="118">
        <v>46184.0</v>
      </c>
      <c r="C27" s="119"/>
      <c r="D27" s="119" t="s">
        <v>455</v>
      </c>
      <c r="E27" s="119" t="s">
        <v>135</v>
      </c>
      <c r="F27" s="119" t="s">
        <v>96</v>
      </c>
      <c r="G27" s="119" t="s">
        <v>57</v>
      </c>
      <c r="H27" s="119"/>
      <c r="I27" s="117">
        <v>200.0</v>
      </c>
      <c r="J27" s="118"/>
      <c r="K27" s="46"/>
      <c r="L27" s="46"/>
      <c r="M27" s="46"/>
      <c r="N27" s="117"/>
      <c r="O27" s="119"/>
      <c r="P27" s="119" t="s">
        <v>119</v>
      </c>
      <c r="Q27" s="120"/>
      <c r="R27" s="193"/>
      <c r="S27" s="194"/>
      <c r="T27" s="195"/>
      <c r="U27" s="195"/>
      <c r="V27" s="195"/>
      <c r="W27" s="195"/>
      <c r="X27" s="195"/>
      <c r="Y27" s="195"/>
      <c r="Z27" s="195"/>
      <c r="AA27" s="195"/>
    </row>
    <row r="28" ht="20.25" customHeight="1">
      <c r="A28" s="192" t="s">
        <v>121</v>
      </c>
      <c r="B28" s="118">
        <v>46184.0</v>
      </c>
      <c r="C28" s="119"/>
      <c r="D28" s="119" t="s">
        <v>456</v>
      </c>
      <c r="E28" s="119" t="s">
        <v>457</v>
      </c>
      <c r="F28" s="119" t="s">
        <v>96</v>
      </c>
      <c r="G28" s="119" t="s">
        <v>55</v>
      </c>
      <c r="H28" s="119"/>
      <c r="I28" s="117">
        <v>4590.0</v>
      </c>
      <c r="J28" s="118"/>
      <c r="K28" s="46"/>
      <c r="L28" s="46"/>
      <c r="M28" s="46"/>
      <c r="N28" s="117"/>
      <c r="O28" s="119"/>
      <c r="P28" s="119" t="s">
        <v>158</v>
      </c>
      <c r="Q28" s="120"/>
      <c r="R28" s="193"/>
      <c r="S28" s="194"/>
      <c r="T28" s="195"/>
      <c r="U28" s="195"/>
      <c r="V28" s="195"/>
      <c r="W28" s="195"/>
      <c r="X28" s="195"/>
      <c r="Y28" s="195"/>
      <c r="Z28" s="195"/>
      <c r="AA28" s="195"/>
    </row>
    <row r="29" ht="20.25" customHeight="1">
      <c r="A29" s="192" t="s">
        <v>124</v>
      </c>
      <c r="B29" s="118">
        <v>46185.0</v>
      </c>
      <c r="C29" s="119"/>
      <c r="D29" s="119" t="s">
        <v>458</v>
      </c>
      <c r="E29" s="119" t="s">
        <v>126</v>
      </c>
      <c r="F29" s="119" t="s">
        <v>90</v>
      </c>
      <c r="G29" s="119" t="s">
        <v>50</v>
      </c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93"/>
      <c r="S29" s="194"/>
      <c r="T29" s="195"/>
      <c r="U29" s="195"/>
      <c r="V29" s="195"/>
      <c r="W29" s="195"/>
      <c r="X29" s="195"/>
      <c r="Y29" s="195"/>
      <c r="Z29" s="195"/>
      <c r="AA29" s="195"/>
    </row>
    <row r="30" ht="20.25" customHeight="1">
      <c r="A30" s="192" t="s">
        <v>121</v>
      </c>
      <c r="B30" s="118">
        <v>46185.0</v>
      </c>
      <c r="C30" s="119"/>
      <c r="D30" s="119" t="s">
        <v>459</v>
      </c>
      <c r="E30" s="119" t="s">
        <v>123</v>
      </c>
      <c r="F30" s="119" t="s">
        <v>90</v>
      </c>
      <c r="G30" s="119" t="s">
        <v>50</v>
      </c>
      <c r="H30" s="119"/>
      <c r="I30" s="117">
        <v>630.0</v>
      </c>
      <c r="J30" s="118"/>
      <c r="K30" s="46"/>
      <c r="L30" s="46"/>
      <c r="M30" s="46"/>
      <c r="N30" s="117"/>
      <c r="O30" s="119"/>
      <c r="P30" s="119" t="s">
        <v>158</v>
      </c>
      <c r="Q30" s="120"/>
      <c r="R30" s="193"/>
      <c r="S30" s="194"/>
      <c r="T30" s="195"/>
      <c r="U30" s="195"/>
      <c r="V30" s="195"/>
      <c r="W30" s="195"/>
      <c r="X30" s="195"/>
      <c r="Y30" s="195"/>
      <c r="Z30" s="195"/>
      <c r="AA30" s="195"/>
    </row>
    <row r="31" ht="20.25" customHeight="1">
      <c r="A31" s="192" t="s">
        <v>121</v>
      </c>
      <c r="B31" s="118">
        <v>46188.0</v>
      </c>
      <c r="C31" s="119"/>
      <c r="D31" s="119" t="s">
        <v>460</v>
      </c>
      <c r="E31" s="119" t="s">
        <v>110</v>
      </c>
      <c r="F31" s="119" t="s">
        <v>90</v>
      </c>
      <c r="G31" s="119" t="s">
        <v>49</v>
      </c>
      <c r="H31" s="119"/>
      <c r="I31" s="117">
        <v>220.0</v>
      </c>
      <c r="J31" s="118"/>
      <c r="K31" s="46"/>
      <c r="L31" s="46"/>
      <c r="M31" s="46"/>
      <c r="N31" s="117"/>
      <c r="O31" s="119"/>
      <c r="P31" s="119" t="s">
        <v>158</v>
      </c>
      <c r="Q31" s="120"/>
      <c r="R31" s="193"/>
      <c r="S31" s="194"/>
      <c r="T31" s="195"/>
      <c r="U31" s="195"/>
      <c r="V31" s="195"/>
      <c r="W31" s="195"/>
      <c r="X31" s="195"/>
      <c r="Y31" s="195"/>
      <c r="Z31" s="195"/>
      <c r="AA31" s="195"/>
    </row>
    <row r="32" ht="20.25" customHeight="1">
      <c r="A32" s="192" t="s">
        <v>121</v>
      </c>
      <c r="B32" s="118">
        <v>46189.0</v>
      </c>
      <c r="C32" s="119"/>
      <c r="D32" s="119" t="s">
        <v>461</v>
      </c>
      <c r="E32" s="119" t="s">
        <v>123</v>
      </c>
      <c r="F32" s="119" t="s">
        <v>90</v>
      </c>
      <c r="G32" s="119" t="s">
        <v>50</v>
      </c>
      <c r="H32" s="119"/>
      <c r="I32" s="117">
        <v>1630.0</v>
      </c>
      <c r="J32" s="118"/>
      <c r="K32" s="46"/>
      <c r="L32" s="46"/>
      <c r="M32" s="46"/>
      <c r="N32" s="117"/>
      <c r="O32" s="119"/>
      <c r="P32" s="119" t="s">
        <v>97</v>
      </c>
      <c r="Q32" s="120"/>
      <c r="R32" s="193"/>
      <c r="S32" s="194"/>
      <c r="T32" s="195"/>
      <c r="U32" s="195"/>
      <c r="V32" s="195"/>
      <c r="W32" s="195"/>
      <c r="X32" s="195"/>
      <c r="Y32" s="195"/>
      <c r="Z32" s="195"/>
      <c r="AA32" s="195"/>
    </row>
    <row r="33" ht="20.25" customHeight="1">
      <c r="A33" s="192" t="s">
        <v>234</v>
      </c>
      <c r="B33" s="118">
        <v>46189.0</v>
      </c>
      <c r="C33" s="119"/>
      <c r="D33" s="119" t="s">
        <v>462</v>
      </c>
      <c r="E33" s="119" t="s">
        <v>397</v>
      </c>
      <c r="F33" s="119" t="s">
        <v>96</v>
      </c>
      <c r="G33" s="119" t="s">
        <v>398</v>
      </c>
      <c r="H33" s="119"/>
      <c r="I33" s="117">
        <v>1800.0</v>
      </c>
      <c r="J33" s="118"/>
      <c r="K33" s="46"/>
      <c r="L33" s="46"/>
      <c r="M33" s="46"/>
      <c r="N33" s="117"/>
      <c r="O33" s="119"/>
      <c r="P33" s="119"/>
      <c r="Q33" s="120"/>
      <c r="R33" s="193"/>
      <c r="S33" s="194"/>
      <c r="T33" s="195"/>
      <c r="U33" s="195"/>
      <c r="V33" s="195"/>
      <c r="W33" s="195"/>
      <c r="X33" s="195"/>
      <c r="Y33" s="195"/>
      <c r="Z33" s="195"/>
      <c r="AA33" s="195"/>
    </row>
    <row r="34" ht="20.25" customHeight="1">
      <c r="A34" s="192" t="s">
        <v>121</v>
      </c>
      <c r="B34" s="118">
        <v>46189.0</v>
      </c>
      <c r="C34" s="119"/>
      <c r="D34" s="119" t="s">
        <v>463</v>
      </c>
      <c r="E34" s="119" t="s">
        <v>397</v>
      </c>
      <c r="F34" s="119" t="s">
        <v>96</v>
      </c>
      <c r="G34" s="119" t="s">
        <v>398</v>
      </c>
      <c r="H34" s="119"/>
      <c r="I34" s="117">
        <v>800.0</v>
      </c>
      <c r="J34" s="118"/>
      <c r="K34" s="46"/>
      <c r="L34" s="46"/>
      <c r="M34" s="46"/>
      <c r="N34" s="117"/>
      <c r="O34" s="119"/>
      <c r="P34" s="119" t="s">
        <v>119</v>
      </c>
      <c r="Q34" s="120"/>
      <c r="R34" s="193"/>
      <c r="S34" s="194"/>
      <c r="T34" s="195"/>
      <c r="U34" s="195"/>
      <c r="V34" s="195"/>
      <c r="W34" s="195"/>
      <c r="X34" s="195"/>
      <c r="Y34" s="195"/>
      <c r="Z34" s="195"/>
      <c r="AA34" s="195"/>
    </row>
    <row r="35" ht="20.25" customHeight="1">
      <c r="A35" s="192" t="s">
        <v>121</v>
      </c>
      <c r="B35" s="118">
        <v>46190.0</v>
      </c>
      <c r="C35" s="119"/>
      <c r="D35" s="119" t="s">
        <v>464</v>
      </c>
      <c r="E35" s="119" t="s">
        <v>128</v>
      </c>
      <c r="F35" s="119" t="s">
        <v>90</v>
      </c>
      <c r="G35" s="119" t="s">
        <v>49</v>
      </c>
      <c r="H35" s="119"/>
      <c r="I35" s="117">
        <v>1570.0</v>
      </c>
      <c r="J35" s="118"/>
      <c r="K35" s="46"/>
      <c r="L35" s="46"/>
      <c r="M35" s="46"/>
      <c r="N35" s="117"/>
      <c r="O35" s="119"/>
      <c r="P35" s="119" t="s">
        <v>158</v>
      </c>
      <c r="Q35" s="120"/>
      <c r="R35" s="193"/>
      <c r="S35" s="194"/>
      <c r="T35" s="195"/>
      <c r="U35" s="195"/>
      <c r="V35" s="195"/>
      <c r="W35" s="195"/>
      <c r="X35" s="195"/>
      <c r="Y35" s="195"/>
      <c r="Z35" s="195"/>
      <c r="AA35" s="195"/>
    </row>
    <row r="36" ht="20.25" customHeight="1">
      <c r="A36" s="192" t="s">
        <v>124</v>
      </c>
      <c r="B36" s="118">
        <v>46190.0</v>
      </c>
      <c r="C36" s="119"/>
      <c r="D36" s="119" t="s">
        <v>465</v>
      </c>
      <c r="E36" s="119" t="s">
        <v>110</v>
      </c>
      <c r="F36" s="119" t="s">
        <v>96</v>
      </c>
      <c r="G36" s="119" t="s">
        <v>50</v>
      </c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93"/>
      <c r="S36" s="194"/>
      <c r="T36" s="195"/>
      <c r="U36" s="195"/>
      <c r="V36" s="195"/>
      <c r="W36" s="195"/>
      <c r="X36" s="195"/>
      <c r="Y36" s="195"/>
      <c r="Z36" s="195"/>
      <c r="AA36" s="195"/>
    </row>
    <row r="37" ht="20.25" customHeight="1">
      <c r="A37" s="192" t="s">
        <v>234</v>
      </c>
      <c r="B37" s="118">
        <v>46191.0</v>
      </c>
      <c r="C37" s="119"/>
      <c r="D37" s="119" t="s">
        <v>466</v>
      </c>
      <c r="E37" s="119" t="s">
        <v>110</v>
      </c>
      <c r="F37" s="119" t="s">
        <v>90</v>
      </c>
      <c r="G37" s="119" t="s">
        <v>57</v>
      </c>
      <c r="H37" s="119"/>
      <c r="I37" s="117">
        <v>3869.0</v>
      </c>
      <c r="J37" s="118"/>
      <c r="K37" s="46"/>
      <c r="L37" s="46"/>
      <c r="M37" s="46"/>
      <c r="N37" s="117"/>
      <c r="O37" s="119"/>
      <c r="P37" s="119"/>
      <c r="Q37" s="120"/>
      <c r="R37" s="193"/>
      <c r="S37" s="194"/>
      <c r="T37" s="195"/>
      <c r="U37" s="195"/>
      <c r="V37" s="195"/>
      <c r="W37" s="195"/>
      <c r="X37" s="195"/>
      <c r="Y37" s="195"/>
      <c r="Z37" s="195"/>
      <c r="AA37" s="195"/>
    </row>
    <row r="38" ht="20.25" customHeight="1">
      <c r="A38" s="192" t="s">
        <v>121</v>
      </c>
      <c r="B38" s="118">
        <v>46191.0</v>
      </c>
      <c r="C38" s="119"/>
      <c r="D38" s="119" t="s">
        <v>467</v>
      </c>
      <c r="E38" s="119" t="s">
        <v>110</v>
      </c>
      <c r="F38" s="119" t="s">
        <v>96</v>
      </c>
      <c r="G38" s="119" t="s">
        <v>57</v>
      </c>
      <c r="H38" s="119"/>
      <c r="I38" s="117">
        <v>1250.0</v>
      </c>
      <c r="J38" s="118"/>
      <c r="K38" s="46"/>
      <c r="L38" s="46"/>
      <c r="M38" s="46"/>
      <c r="N38" s="117"/>
      <c r="O38" s="119"/>
      <c r="P38" s="119" t="s">
        <v>158</v>
      </c>
      <c r="Q38" s="120"/>
      <c r="R38" s="193"/>
      <c r="S38" s="194"/>
      <c r="T38" s="195"/>
      <c r="U38" s="195"/>
      <c r="V38" s="195"/>
      <c r="W38" s="195"/>
      <c r="X38" s="195"/>
      <c r="Y38" s="195"/>
      <c r="Z38" s="195"/>
      <c r="AA38" s="195"/>
    </row>
    <row r="39" ht="20.25" customHeight="1">
      <c r="A39" s="192" t="s">
        <v>121</v>
      </c>
      <c r="B39" s="118">
        <v>46196.0</v>
      </c>
      <c r="C39" s="119"/>
      <c r="D39" s="119" t="s">
        <v>359</v>
      </c>
      <c r="E39" s="119" t="s">
        <v>123</v>
      </c>
      <c r="F39" s="119" t="s">
        <v>90</v>
      </c>
      <c r="G39" s="119" t="s">
        <v>50</v>
      </c>
      <c r="H39" s="119"/>
      <c r="I39" s="117">
        <v>330.0</v>
      </c>
      <c r="J39" s="118"/>
      <c r="K39" s="46"/>
      <c r="L39" s="46"/>
      <c r="M39" s="46"/>
      <c r="N39" s="117"/>
      <c r="O39" s="119"/>
      <c r="P39" s="119" t="s">
        <v>119</v>
      </c>
      <c r="Q39" s="120"/>
      <c r="R39" s="193"/>
      <c r="S39" s="194"/>
      <c r="T39" s="195"/>
      <c r="U39" s="195"/>
      <c r="V39" s="195"/>
      <c r="W39" s="195"/>
      <c r="X39" s="195"/>
      <c r="Y39" s="195"/>
      <c r="Z39" s="195"/>
      <c r="AA39" s="195"/>
    </row>
    <row r="40" ht="20.25" customHeight="1">
      <c r="A40" s="192"/>
      <c r="B40" s="118"/>
      <c r="C40" s="119"/>
      <c r="D40" s="120"/>
      <c r="E40" s="119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93"/>
      <c r="S40" s="194"/>
      <c r="T40" s="195"/>
      <c r="U40" s="195"/>
      <c r="V40" s="195"/>
      <c r="W40" s="195"/>
      <c r="X40" s="195"/>
      <c r="Y40" s="195"/>
      <c r="Z40" s="195"/>
      <c r="AA40" s="195"/>
    </row>
    <row r="41" ht="20.25" customHeight="1">
      <c r="A41" s="192"/>
      <c r="B41" s="118"/>
      <c r="C41" s="119"/>
      <c r="D41" s="120"/>
      <c r="E41" s="119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93"/>
      <c r="S41" s="194"/>
      <c r="T41" s="195"/>
      <c r="U41" s="195"/>
      <c r="V41" s="195"/>
      <c r="W41" s="195"/>
      <c r="X41" s="195"/>
      <c r="Y41" s="195"/>
      <c r="Z41" s="195"/>
      <c r="AA41" s="195"/>
    </row>
    <row r="42" ht="20.25" customHeight="1">
      <c r="A42" s="192"/>
      <c r="B42" s="118"/>
      <c r="C42" s="119"/>
      <c r="D42" s="120"/>
      <c r="E42" s="119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93"/>
      <c r="S42" s="194"/>
      <c r="T42" s="195"/>
      <c r="U42" s="195"/>
      <c r="V42" s="195"/>
      <c r="W42" s="195"/>
      <c r="X42" s="195"/>
      <c r="Y42" s="195"/>
      <c r="Z42" s="195"/>
      <c r="AA42" s="195"/>
    </row>
    <row r="43" ht="20.25" customHeight="1">
      <c r="A43" s="192"/>
      <c r="B43" s="118"/>
      <c r="C43" s="119"/>
      <c r="D43" s="120"/>
      <c r="E43" s="119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93"/>
      <c r="S43" s="194"/>
      <c r="T43" s="195"/>
      <c r="U43" s="195"/>
      <c r="V43" s="195"/>
      <c r="W43" s="195"/>
      <c r="X43" s="195"/>
      <c r="Y43" s="195"/>
      <c r="Z43" s="195"/>
      <c r="AA43" s="195"/>
    </row>
    <row r="44" ht="20.25" customHeight="1">
      <c r="A44" s="192"/>
      <c r="B44" s="118"/>
      <c r="C44" s="119"/>
      <c r="D44" s="120"/>
      <c r="E44" s="119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93"/>
      <c r="S44" s="194"/>
      <c r="T44" s="195"/>
      <c r="U44" s="195"/>
      <c r="V44" s="195"/>
      <c r="W44" s="195"/>
      <c r="X44" s="195"/>
      <c r="Y44" s="195"/>
      <c r="Z44" s="195"/>
      <c r="AA44" s="195"/>
    </row>
    <row r="45" ht="20.25" customHeight="1">
      <c r="A45" s="192"/>
      <c r="B45" s="118"/>
      <c r="C45" s="119"/>
      <c r="D45" s="120"/>
      <c r="E45" s="119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93"/>
      <c r="S45" s="194"/>
      <c r="T45" s="195"/>
      <c r="U45" s="195"/>
      <c r="V45" s="195"/>
      <c r="W45" s="195"/>
      <c r="X45" s="195"/>
      <c r="Y45" s="195"/>
      <c r="Z45" s="195"/>
      <c r="AA45" s="195"/>
    </row>
    <row r="46" ht="20.25" customHeight="1">
      <c r="A46" s="192"/>
      <c r="B46" s="118"/>
      <c r="C46" s="119"/>
      <c r="D46" s="120"/>
      <c r="E46" s="119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93"/>
      <c r="S46" s="194"/>
      <c r="T46" s="195"/>
      <c r="U46" s="195"/>
      <c r="V46" s="195"/>
      <c r="W46" s="195"/>
      <c r="X46" s="195"/>
      <c r="Y46" s="195"/>
      <c r="Z46" s="195"/>
      <c r="AA46" s="195"/>
    </row>
    <row r="47" ht="20.25" customHeight="1">
      <c r="A47" s="192"/>
      <c r="B47" s="118"/>
      <c r="C47" s="119"/>
      <c r="D47" s="120"/>
      <c r="E47" s="119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93"/>
      <c r="S47" s="194"/>
      <c r="T47" s="195"/>
      <c r="U47" s="195"/>
      <c r="V47" s="195"/>
      <c r="W47" s="195"/>
      <c r="X47" s="195"/>
      <c r="Y47" s="195"/>
      <c r="Z47" s="195"/>
      <c r="AA47" s="195"/>
    </row>
    <row r="48" ht="20.25" customHeight="1">
      <c r="A48" s="192"/>
      <c r="B48" s="118"/>
      <c r="C48" s="119"/>
      <c r="D48" s="120"/>
      <c r="E48" s="119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93"/>
      <c r="S48" s="194"/>
      <c r="T48" s="195"/>
      <c r="U48" s="195"/>
      <c r="V48" s="195"/>
      <c r="W48" s="195"/>
      <c r="X48" s="195"/>
      <c r="Y48" s="195"/>
      <c r="Z48" s="195"/>
      <c r="AA48" s="195"/>
    </row>
    <row r="49" ht="20.25" customHeight="1">
      <c r="A49" s="192"/>
      <c r="B49" s="118"/>
      <c r="C49" s="119"/>
      <c r="D49" s="120"/>
      <c r="E49" s="119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93"/>
      <c r="S49" s="194"/>
      <c r="T49" s="195"/>
      <c r="U49" s="195"/>
      <c r="V49" s="195"/>
      <c r="W49" s="195"/>
      <c r="X49" s="195"/>
      <c r="Y49" s="195"/>
      <c r="Z49" s="195"/>
      <c r="AA49" s="195"/>
    </row>
    <row r="50" ht="20.25" customHeight="1">
      <c r="A50" s="192"/>
      <c r="B50" s="118"/>
      <c r="C50" s="119"/>
      <c r="D50" s="120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93"/>
      <c r="S50" s="194"/>
      <c r="T50" s="195"/>
      <c r="U50" s="195"/>
      <c r="V50" s="195"/>
      <c r="W50" s="195"/>
      <c r="X50" s="195"/>
      <c r="Y50" s="195"/>
      <c r="Z50" s="195"/>
      <c r="AA50" s="195"/>
    </row>
    <row r="51" ht="20.25" customHeight="1">
      <c r="A51" s="192"/>
      <c r="B51" s="118"/>
      <c r="C51" s="119"/>
      <c r="D51" s="120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93"/>
      <c r="S51" s="194"/>
      <c r="T51" s="195"/>
      <c r="U51" s="195"/>
      <c r="V51" s="195"/>
      <c r="W51" s="195"/>
      <c r="X51" s="195"/>
      <c r="Y51" s="195"/>
      <c r="Z51" s="195"/>
      <c r="AA51" s="195"/>
    </row>
    <row r="52" ht="20.25" customHeight="1">
      <c r="A52" s="192"/>
      <c r="B52" s="118"/>
      <c r="C52" s="119"/>
      <c r="D52" s="120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93"/>
      <c r="S52" s="194"/>
      <c r="T52" s="195"/>
      <c r="U52" s="195"/>
      <c r="V52" s="195"/>
      <c r="W52" s="195"/>
      <c r="X52" s="195"/>
      <c r="Y52" s="195"/>
      <c r="Z52" s="195"/>
      <c r="AA52" s="195"/>
    </row>
    <row r="53" ht="20.25" customHeight="1">
      <c r="A53" s="192"/>
      <c r="B53" s="118"/>
      <c r="C53" s="119"/>
      <c r="D53" s="120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93"/>
      <c r="S53" s="194"/>
      <c r="T53" s="195"/>
      <c r="U53" s="195"/>
      <c r="V53" s="195"/>
      <c r="W53" s="195"/>
      <c r="X53" s="195"/>
      <c r="Y53" s="195"/>
      <c r="Z53" s="195"/>
      <c r="AA53" s="195"/>
    </row>
    <row r="54" ht="20.25" customHeight="1">
      <c r="A54" s="19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93"/>
      <c r="S54" s="194"/>
      <c r="T54" s="195"/>
      <c r="U54" s="195"/>
      <c r="V54" s="195"/>
      <c r="W54" s="195"/>
      <c r="X54" s="195"/>
      <c r="Y54" s="195"/>
      <c r="Z54" s="195"/>
      <c r="AA54" s="195"/>
    </row>
    <row r="55" ht="20.25" customHeight="1">
      <c r="A55" s="19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93"/>
      <c r="S55" s="194"/>
      <c r="T55" s="195"/>
      <c r="U55" s="195"/>
      <c r="V55" s="195"/>
      <c r="W55" s="195"/>
      <c r="X55" s="195"/>
      <c r="Y55" s="195"/>
      <c r="Z55" s="195"/>
      <c r="AA55" s="195"/>
    </row>
    <row r="56" ht="20.25" customHeight="1">
      <c r="A56" s="19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93"/>
      <c r="S56" s="194"/>
      <c r="T56" s="195"/>
      <c r="U56" s="195"/>
      <c r="V56" s="195"/>
      <c r="W56" s="195"/>
      <c r="X56" s="195"/>
      <c r="Y56" s="195"/>
      <c r="Z56" s="195"/>
      <c r="AA56" s="195"/>
    </row>
    <row r="57" ht="20.25" customHeight="1">
      <c r="A57" s="19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93"/>
      <c r="S57" s="194"/>
      <c r="T57" s="195"/>
      <c r="U57" s="195"/>
      <c r="V57" s="195"/>
      <c r="W57" s="195"/>
      <c r="X57" s="195"/>
      <c r="Y57" s="195"/>
      <c r="Z57" s="195"/>
      <c r="AA57" s="195"/>
    </row>
    <row r="58" ht="20.25" customHeight="1">
      <c r="A58" s="19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93"/>
      <c r="S58" s="194"/>
      <c r="T58" s="195"/>
      <c r="U58" s="195"/>
      <c r="V58" s="195"/>
      <c r="W58" s="195"/>
      <c r="X58" s="195"/>
      <c r="Y58" s="195"/>
      <c r="Z58" s="195"/>
      <c r="AA58" s="195"/>
    </row>
    <row r="59" ht="20.25" customHeight="1">
      <c r="A59" s="19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93"/>
      <c r="S59" s="194"/>
      <c r="T59" s="195"/>
      <c r="U59" s="195"/>
      <c r="V59" s="195"/>
      <c r="W59" s="195"/>
      <c r="X59" s="195"/>
      <c r="Y59" s="195"/>
      <c r="Z59" s="195"/>
      <c r="AA59" s="195"/>
    </row>
    <row r="60" ht="20.25" customHeight="1">
      <c r="A60" s="19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93"/>
      <c r="S60" s="194"/>
      <c r="T60" s="195"/>
      <c r="U60" s="195"/>
      <c r="V60" s="195"/>
      <c r="W60" s="195"/>
      <c r="X60" s="195"/>
      <c r="Y60" s="195"/>
      <c r="Z60" s="195"/>
      <c r="AA60" s="195"/>
    </row>
    <row r="61" ht="20.25" customHeight="1">
      <c r="A61" s="19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93"/>
      <c r="S61" s="194"/>
      <c r="T61" s="195"/>
      <c r="U61" s="195"/>
      <c r="V61" s="195"/>
      <c r="W61" s="195"/>
      <c r="X61" s="195"/>
      <c r="Y61" s="195"/>
      <c r="Z61" s="195"/>
      <c r="AA61" s="195"/>
    </row>
    <row r="62" ht="20.25" customHeight="1">
      <c r="A62" s="19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93"/>
      <c r="S62" s="194"/>
      <c r="T62" s="195"/>
      <c r="U62" s="195"/>
      <c r="V62" s="195"/>
      <c r="W62" s="195"/>
      <c r="X62" s="195"/>
      <c r="Y62" s="195"/>
      <c r="Z62" s="195"/>
      <c r="AA62" s="195"/>
    </row>
    <row r="63" ht="20.25" customHeight="1">
      <c r="A63" s="19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93"/>
      <c r="S63" s="194"/>
      <c r="T63" s="195"/>
      <c r="U63" s="195"/>
      <c r="V63" s="195"/>
      <c r="W63" s="195"/>
      <c r="X63" s="195"/>
      <c r="Y63" s="195"/>
      <c r="Z63" s="195"/>
      <c r="AA63" s="195"/>
    </row>
    <row r="64" ht="20.25" customHeight="1">
      <c r="A64" s="19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93"/>
      <c r="S64" s="194"/>
      <c r="T64" s="195"/>
      <c r="U64" s="195"/>
      <c r="V64" s="195"/>
      <c r="W64" s="195"/>
      <c r="X64" s="195"/>
      <c r="Y64" s="195"/>
      <c r="Z64" s="195"/>
      <c r="AA64" s="195"/>
    </row>
    <row r="65" ht="20.25" customHeight="1">
      <c r="A65" s="19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93"/>
      <c r="S65" s="194"/>
      <c r="T65" s="195"/>
      <c r="U65" s="195"/>
      <c r="V65" s="195"/>
      <c r="W65" s="195"/>
      <c r="X65" s="195"/>
      <c r="Y65" s="195"/>
      <c r="Z65" s="195"/>
      <c r="AA65" s="195"/>
    </row>
    <row r="66" ht="20.25" customHeight="1">
      <c r="A66" s="19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93"/>
      <c r="S66" s="194"/>
      <c r="T66" s="195"/>
      <c r="U66" s="195"/>
      <c r="V66" s="195"/>
      <c r="W66" s="195"/>
      <c r="X66" s="195"/>
      <c r="Y66" s="195"/>
      <c r="Z66" s="195"/>
      <c r="AA66" s="195"/>
    </row>
    <row r="67" ht="20.25" customHeight="1">
      <c r="A67" s="19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93"/>
      <c r="S67" s="194"/>
      <c r="T67" s="195"/>
      <c r="U67" s="195"/>
      <c r="V67" s="195"/>
      <c r="W67" s="195"/>
      <c r="X67" s="195"/>
      <c r="Y67" s="195"/>
      <c r="Z67" s="195"/>
      <c r="AA67" s="195"/>
    </row>
    <row r="68" ht="20.25" customHeight="1">
      <c r="A68" s="19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93"/>
      <c r="S68" s="194"/>
      <c r="T68" s="195"/>
      <c r="U68" s="195"/>
      <c r="V68" s="195"/>
      <c r="W68" s="195"/>
      <c r="X68" s="195"/>
      <c r="Y68" s="195"/>
      <c r="Z68" s="195"/>
      <c r="AA68" s="195"/>
    </row>
    <row r="69" ht="20.25" customHeight="1">
      <c r="A69" s="19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93"/>
      <c r="S69" s="194"/>
      <c r="T69" s="195"/>
      <c r="U69" s="195"/>
      <c r="V69" s="195"/>
      <c r="W69" s="195"/>
      <c r="X69" s="195"/>
      <c r="Y69" s="195"/>
      <c r="Z69" s="195"/>
      <c r="AA69" s="195"/>
    </row>
    <row r="70" ht="20.25" customHeight="1">
      <c r="A70" s="19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93"/>
      <c r="S70" s="194"/>
      <c r="T70" s="195"/>
      <c r="U70" s="195"/>
      <c r="V70" s="195"/>
      <c r="W70" s="195"/>
      <c r="X70" s="195"/>
      <c r="Y70" s="195"/>
      <c r="Z70" s="195"/>
      <c r="AA70" s="195"/>
    </row>
    <row r="71" ht="20.25" customHeight="1">
      <c r="A71" s="19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93"/>
      <c r="S71" s="194"/>
      <c r="T71" s="195"/>
      <c r="U71" s="195"/>
      <c r="V71" s="195"/>
      <c r="W71" s="195"/>
      <c r="X71" s="195"/>
      <c r="Y71" s="195"/>
      <c r="Z71" s="195"/>
      <c r="AA71" s="195"/>
    </row>
    <row r="72" ht="20.25" customHeight="1">
      <c r="A72" s="19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93"/>
      <c r="S72" s="194"/>
      <c r="T72" s="195"/>
      <c r="U72" s="195"/>
      <c r="V72" s="195"/>
      <c r="W72" s="195"/>
      <c r="X72" s="195"/>
      <c r="Y72" s="195"/>
      <c r="Z72" s="195"/>
      <c r="AA72" s="195"/>
    </row>
    <row r="73" ht="20.25" customHeight="1">
      <c r="A73" s="19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93"/>
      <c r="S73" s="194"/>
      <c r="T73" s="195"/>
      <c r="U73" s="195"/>
      <c r="V73" s="195"/>
      <c r="W73" s="195"/>
      <c r="X73" s="195"/>
      <c r="Y73" s="195"/>
      <c r="Z73" s="195"/>
      <c r="AA73" s="195"/>
    </row>
    <row r="74" ht="20.25" customHeight="1">
      <c r="A74" s="19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93"/>
      <c r="S74" s="194"/>
      <c r="T74" s="195"/>
      <c r="U74" s="195"/>
      <c r="V74" s="195"/>
      <c r="W74" s="195"/>
      <c r="X74" s="195"/>
      <c r="Y74" s="195"/>
      <c r="Z74" s="195"/>
      <c r="AA74" s="195"/>
    </row>
    <row r="75" ht="20.25" customHeight="1">
      <c r="A75" s="19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93"/>
      <c r="S75" s="194"/>
      <c r="T75" s="195"/>
      <c r="U75" s="195"/>
      <c r="V75" s="195"/>
      <c r="W75" s="195"/>
      <c r="X75" s="195"/>
      <c r="Y75" s="195"/>
      <c r="Z75" s="195"/>
      <c r="AA75" s="195"/>
    </row>
    <row r="76" ht="20.25" customHeight="1">
      <c r="A76" s="19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93"/>
      <c r="S76" s="194"/>
      <c r="T76" s="195"/>
      <c r="U76" s="195"/>
      <c r="V76" s="195"/>
      <c r="W76" s="195"/>
      <c r="X76" s="195"/>
      <c r="Y76" s="195"/>
      <c r="Z76" s="195"/>
      <c r="AA76" s="195"/>
    </row>
    <row r="77" ht="20.25" customHeight="1">
      <c r="A77" s="19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93"/>
      <c r="S77" s="194"/>
      <c r="T77" s="195"/>
      <c r="U77" s="195"/>
      <c r="V77" s="195"/>
      <c r="W77" s="195"/>
      <c r="X77" s="195"/>
      <c r="Y77" s="195"/>
      <c r="Z77" s="195"/>
      <c r="AA77" s="195"/>
    </row>
    <row r="78" ht="20.25" customHeight="1">
      <c r="A78" s="19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93"/>
      <c r="S78" s="194"/>
      <c r="T78" s="195"/>
      <c r="U78" s="195"/>
      <c r="V78" s="195"/>
      <c r="W78" s="195"/>
      <c r="X78" s="195"/>
      <c r="Y78" s="195"/>
      <c r="Z78" s="195"/>
      <c r="AA78" s="195"/>
    </row>
    <row r="79" ht="20.25" customHeight="1">
      <c r="A79" s="19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93"/>
      <c r="S79" s="194"/>
      <c r="T79" s="195"/>
      <c r="U79" s="195"/>
      <c r="V79" s="195"/>
      <c r="W79" s="195"/>
      <c r="X79" s="195"/>
      <c r="Y79" s="195"/>
      <c r="Z79" s="195"/>
      <c r="AA79" s="195"/>
    </row>
    <row r="80" ht="20.25" customHeight="1">
      <c r="A80" s="19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93"/>
      <c r="S80" s="194"/>
      <c r="T80" s="195"/>
      <c r="U80" s="195"/>
      <c r="V80" s="195"/>
      <c r="W80" s="195"/>
      <c r="X80" s="195"/>
      <c r="Y80" s="195"/>
      <c r="Z80" s="195"/>
      <c r="AA80" s="19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0 G11:G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C11:C80">
      <formula1>'Elenco Dip Sedi'!$D$5:$D$32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G11:G80">
      <formula1>'Elenco Dip Sedi'!$C$5:$C$32</formula1>
    </dataValidation>
    <dataValidation type="list" allowBlank="1" showErrorMessage="1" sqref="P11:P80">
      <formula1>'Elenco Dip Sedi'!$K$5:$K$32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E11:E80">
      <formula1>'Elenco Dip Sedi'!$N$5:$N$32</formula1>
    </dataValidation>
    <dataValidation type="list" allowBlank="1" showErrorMessage="1" sqref="F11:F80">
      <formula1>"M,F"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4.7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57"/>
      <c r="D1" s="156" t="s">
        <v>66</v>
      </c>
      <c r="E1" s="157" t="s">
        <v>67</v>
      </c>
      <c r="F1" s="53"/>
      <c r="G1" s="158" t="s">
        <v>103</v>
      </c>
      <c r="H1" s="159"/>
      <c r="I1" s="55"/>
      <c r="J1" s="56"/>
      <c r="L1" s="56"/>
      <c r="M1" s="57"/>
      <c r="N1" s="58"/>
      <c r="O1" s="59"/>
      <c r="P1" s="60"/>
      <c r="Q1" s="61"/>
    </row>
    <row r="2" ht="20.25" customHeight="1">
      <c r="D2" s="160"/>
      <c r="E2" s="160"/>
      <c r="F2" s="53"/>
      <c r="G2" s="161"/>
      <c r="H2" s="162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63"/>
      <c r="E3" s="164"/>
      <c r="F3" s="53"/>
      <c r="G3" s="57"/>
      <c r="H3" s="57"/>
      <c r="I3" s="70"/>
      <c r="J3" s="165"/>
      <c r="K3" s="165"/>
      <c r="L3" s="165"/>
      <c r="M3" s="166"/>
      <c r="N3" s="167"/>
      <c r="O3" s="72"/>
      <c r="P3" s="69"/>
      <c r="Q3" s="61"/>
    </row>
    <row r="4" ht="21.0" customHeight="1">
      <c r="D4" s="168"/>
      <c r="E4" s="169"/>
      <c r="F4" s="84"/>
      <c r="G4" s="84"/>
      <c r="H4" s="84"/>
      <c r="I4" s="170"/>
      <c r="J4" s="171"/>
      <c r="K4" s="171"/>
      <c r="L4" s="171"/>
      <c r="M4" s="78"/>
      <c r="N4" s="89"/>
      <c r="O4" s="172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73"/>
      <c r="E5" s="174"/>
      <c r="F5" s="175"/>
      <c r="G5" s="176"/>
      <c r="H5" s="177"/>
      <c r="I5" s="178"/>
      <c r="J5" s="179" t="s">
        <v>104</v>
      </c>
      <c r="L5" s="180"/>
      <c r="M5" s="181"/>
      <c r="N5" s="182"/>
      <c r="O5" s="183"/>
      <c r="P5" s="184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99"/>
      <c r="E6" s="77"/>
      <c r="F6" s="76"/>
      <c r="G6" s="77"/>
      <c r="H6" s="78"/>
      <c r="I6" s="80" t="s">
        <v>105</v>
      </c>
      <c r="L6" s="186">
        <f>SUMIF(A11:A140,"INZIA IL TRATTAMENTO-VENDITA", I11:I140)</f>
        <v>0</v>
      </c>
      <c r="M6" s="187"/>
      <c r="O6" s="82"/>
      <c r="P6" s="18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89" t="s">
        <v>106</v>
      </c>
      <c r="K7" s="78"/>
      <c r="L7" s="190">
        <f>L6+SUMIFS('OPPORTUNITA DI VENDITA'!J198:J513,'OPPORTUNITA DI VENDITA'!C198:C513, "&gt;=01/07/2026", 'OPPORTUNITA DI VENDITA'!C198:C513, "&lt;=31/07/2026",'OPPORTUNITA DI VENDITA'!B198:B513,"ESEGUITO")</f>
        <v>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236" t="s">
        <v>107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91"/>
      <c r="C10" s="191"/>
      <c r="D10" s="191"/>
      <c r="E10" s="191"/>
      <c r="F10" s="114"/>
      <c r="G10" s="191"/>
      <c r="H10" s="191"/>
      <c r="I10" s="191"/>
      <c r="J10" s="237"/>
      <c r="K10" s="237"/>
      <c r="L10" s="237"/>
      <c r="M10" s="237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0.25" customHeight="1">
      <c r="A11" s="192"/>
      <c r="B11" s="118"/>
      <c r="C11" s="119"/>
      <c r="D11" s="120"/>
      <c r="E11" s="119"/>
      <c r="F11" s="119"/>
      <c r="G11" s="119"/>
      <c r="H11" s="119"/>
      <c r="I11" s="117"/>
      <c r="J11" s="118"/>
      <c r="K11" s="46"/>
      <c r="L11" s="46"/>
      <c r="M11" s="46"/>
      <c r="N11" s="117"/>
      <c r="O11" s="119"/>
      <c r="P11" s="119"/>
      <c r="Q11" s="120"/>
      <c r="R11" s="193"/>
      <c r="S11" s="194"/>
      <c r="T11" s="195"/>
      <c r="U11" s="195"/>
      <c r="V11" s="195"/>
      <c r="W11" s="195"/>
      <c r="X11" s="195"/>
      <c r="Y11" s="195"/>
      <c r="Z11" s="195"/>
      <c r="AA11" s="195"/>
    </row>
    <row r="12" ht="20.25" customHeight="1">
      <c r="A12" s="192"/>
      <c r="B12" s="118"/>
      <c r="C12" s="119"/>
      <c r="D12" s="120"/>
      <c r="E12" s="119"/>
      <c r="F12" s="119"/>
      <c r="G12" s="119"/>
      <c r="H12" s="119"/>
      <c r="I12" s="117"/>
      <c r="J12" s="118"/>
      <c r="K12" s="46"/>
      <c r="L12" s="46"/>
      <c r="M12" s="46"/>
      <c r="N12" s="117"/>
      <c r="O12" s="119"/>
      <c r="P12" s="119"/>
      <c r="Q12" s="120"/>
      <c r="R12" s="193"/>
      <c r="S12" s="194"/>
      <c r="T12" s="195"/>
      <c r="U12" s="195"/>
      <c r="V12" s="195"/>
      <c r="W12" s="195"/>
      <c r="X12" s="195"/>
      <c r="Y12" s="195"/>
      <c r="Z12" s="195"/>
      <c r="AA12" s="195"/>
    </row>
    <row r="13" ht="20.25" customHeight="1">
      <c r="A13" s="192"/>
      <c r="B13" s="118"/>
      <c r="C13" s="119"/>
      <c r="D13" s="120"/>
      <c r="E13" s="119"/>
      <c r="F13" s="119"/>
      <c r="G13" s="119"/>
      <c r="H13" s="119"/>
      <c r="I13" s="117"/>
      <c r="J13" s="118"/>
      <c r="K13" s="46"/>
      <c r="L13" s="46"/>
      <c r="M13" s="46"/>
      <c r="N13" s="117"/>
      <c r="O13" s="119"/>
      <c r="P13" s="119"/>
      <c r="Q13" s="120"/>
      <c r="R13" s="193"/>
      <c r="S13" s="194"/>
      <c r="T13" s="195"/>
      <c r="U13" s="195"/>
      <c r="V13" s="195"/>
      <c r="W13" s="195"/>
      <c r="X13" s="195"/>
      <c r="Y13" s="195"/>
      <c r="Z13" s="195"/>
      <c r="AA13" s="195"/>
    </row>
    <row r="14" ht="20.25" customHeight="1">
      <c r="A14" s="192"/>
      <c r="B14" s="118"/>
      <c r="C14" s="119"/>
      <c r="D14" s="120"/>
      <c r="E14" s="119"/>
      <c r="F14" s="119"/>
      <c r="G14" s="119"/>
      <c r="H14" s="119"/>
      <c r="I14" s="117"/>
      <c r="J14" s="118"/>
      <c r="K14" s="46"/>
      <c r="L14" s="46"/>
      <c r="M14" s="46"/>
      <c r="N14" s="117"/>
      <c r="O14" s="119"/>
      <c r="P14" s="119"/>
      <c r="Q14" s="120"/>
      <c r="R14" s="193"/>
      <c r="S14" s="194"/>
      <c r="T14" s="195"/>
      <c r="U14" s="195"/>
      <c r="V14" s="195"/>
      <c r="W14" s="195"/>
      <c r="X14" s="195"/>
      <c r="Y14" s="195"/>
      <c r="Z14" s="195"/>
      <c r="AA14" s="195"/>
    </row>
    <row r="15" ht="20.25" customHeight="1">
      <c r="A15" s="192"/>
      <c r="B15" s="118"/>
      <c r="C15" s="119"/>
      <c r="D15" s="120"/>
      <c r="E15" s="119"/>
      <c r="F15" s="119"/>
      <c r="G15" s="119"/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93"/>
      <c r="S15" s="194"/>
      <c r="T15" s="195"/>
      <c r="U15" s="195"/>
      <c r="V15" s="195"/>
      <c r="W15" s="195"/>
      <c r="X15" s="195"/>
      <c r="Y15" s="195"/>
      <c r="Z15" s="195"/>
      <c r="AA15" s="195"/>
    </row>
    <row r="16" ht="20.25" customHeight="1">
      <c r="A16" s="192"/>
      <c r="B16" s="118"/>
      <c r="C16" s="119"/>
      <c r="D16" s="120"/>
      <c r="E16" s="119"/>
      <c r="F16" s="119"/>
      <c r="G16" s="119"/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93"/>
      <c r="S16" s="194"/>
      <c r="T16" s="195"/>
      <c r="U16" s="195"/>
      <c r="V16" s="195"/>
      <c r="W16" s="195"/>
      <c r="X16" s="195"/>
      <c r="Y16" s="195"/>
      <c r="Z16" s="195"/>
      <c r="AA16" s="195"/>
    </row>
    <row r="17" ht="20.25" customHeight="1">
      <c r="A17" s="192"/>
      <c r="B17" s="118"/>
      <c r="C17" s="119"/>
      <c r="D17" s="120"/>
      <c r="E17" s="119"/>
      <c r="F17" s="119"/>
      <c r="G17" s="119"/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93"/>
      <c r="S17" s="194"/>
      <c r="T17" s="195"/>
      <c r="U17" s="195"/>
      <c r="V17" s="195"/>
      <c r="W17" s="195"/>
      <c r="X17" s="195"/>
      <c r="Y17" s="195"/>
      <c r="Z17" s="195"/>
      <c r="AA17" s="195"/>
    </row>
    <row r="18" ht="20.25" customHeight="1">
      <c r="A18" s="192"/>
      <c r="B18" s="118"/>
      <c r="C18" s="119"/>
      <c r="D18" s="120"/>
      <c r="E18" s="119"/>
      <c r="F18" s="119"/>
      <c r="G18" s="119"/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93"/>
      <c r="S18" s="194"/>
      <c r="T18" s="195"/>
      <c r="U18" s="195"/>
      <c r="V18" s="195"/>
      <c r="W18" s="195"/>
      <c r="X18" s="195"/>
      <c r="Y18" s="195"/>
      <c r="Z18" s="195"/>
      <c r="AA18" s="195"/>
    </row>
    <row r="19" ht="20.25" customHeight="1">
      <c r="A19" s="192"/>
      <c r="B19" s="118"/>
      <c r="C19" s="119"/>
      <c r="D19" s="120"/>
      <c r="E19" s="119"/>
      <c r="F19" s="119"/>
      <c r="G19" s="119"/>
      <c r="H19" s="119"/>
      <c r="I19" s="117"/>
      <c r="J19" s="118"/>
      <c r="K19" s="46"/>
      <c r="L19" s="46"/>
      <c r="M19" s="46"/>
      <c r="N19" s="117"/>
      <c r="O19" s="119"/>
      <c r="P19" s="119"/>
      <c r="Q19" s="120"/>
      <c r="R19" s="193"/>
      <c r="S19" s="194"/>
      <c r="T19" s="195"/>
      <c r="U19" s="195"/>
      <c r="V19" s="195"/>
      <c r="W19" s="195"/>
      <c r="X19" s="195"/>
      <c r="Y19" s="195"/>
      <c r="Z19" s="195"/>
      <c r="AA19" s="195"/>
    </row>
    <row r="20" ht="20.25" customHeight="1">
      <c r="A20" s="192"/>
      <c r="B20" s="118"/>
      <c r="C20" s="119"/>
      <c r="D20" s="120"/>
      <c r="E20" s="119"/>
      <c r="F20" s="119"/>
      <c r="G20" s="119"/>
      <c r="H20" s="119"/>
      <c r="I20" s="117"/>
      <c r="J20" s="118"/>
      <c r="K20" s="46"/>
      <c r="L20" s="46"/>
      <c r="M20" s="46"/>
      <c r="N20" s="117"/>
      <c r="O20" s="119"/>
      <c r="P20" s="119"/>
      <c r="Q20" s="120"/>
      <c r="R20" s="193"/>
      <c r="S20" s="194"/>
      <c r="T20" s="195"/>
      <c r="U20" s="195"/>
      <c r="V20" s="195"/>
      <c r="W20" s="195"/>
      <c r="X20" s="195"/>
      <c r="Y20" s="195"/>
      <c r="Z20" s="195"/>
      <c r="AA20" s="195"/>
    </row>
    <row r="21" ht="20.25" customHeight="1">
      <c r="A21" s="192"/>
      <c r="B21" s="118"/>
      <c r="C21" s="119"/>
      <c r="D21" s="120"/>
      <c r="E21" s="119"/>
      <c r="F21" s="119"/>
      <c r="G21" s="119"/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193"/>
      <c r="S21" s="194"/>
      <c r="T21" s="195"/>
      <c r="U21" s="195"/>
      <c r="V21" s="195"/>
      <c r="W21" s="195"/>
      <c r="X21" s="195"/>
      <c r="Y21" s="195"/>
      <c r="Z21" s="195"/>
      <c r="AA21" s="195"/>
    </row>
    <row r="22" ht="20.25" customHeight="1">
      <c r="A22" s="192"/>
      <c r="B22" s="118"/>
      <c r="C22" s="119"/>
      <c r="D22" s="120"/>
      <c r="E22" s="119"/>
      <c r="F22" s="119"/>
      <c r="G22" s="119"/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93"/>
      <c r="S22" s="194"/>
      <c r="T22" s="195"/>
      <c r="U22" s="195"/>
      <c r="V22" s="195"/>
      <c r="W22" s="195"/>
      <c r="X22" s="195"/>
      <c r="Y22" s="195"/>
      <c r="Z22" s="195"/>
      <c r="AA22" s="195"/>
    </row>
    <row r="23" ht="20.25" customHeight="1">
      <c r="A23" s="192"/>
      <c r="B23" s="118"/>
      <c r="C23" s="119"/>
      <c r="D23" s="120"/>
      <c r="E23" s="119"/>
      <c r="F23" s="119"/>
      <c r="G23" s="119"/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93"/>
      <c r="S23" s="194"/>
      <c r="T23" s="195"/>
      <c r="U23" s="195"/>
      <c r="V23" s="195"/>
      <c r="W23" s="195"/>
      <c r="X23" s="195"/>
      <c r="Y23" s="195"/>
      <c r="Z23" s="195"/>
      <c r="AA23" s="195"/>
    </row>
    <row r="24" ht="20.25" customHeight="1">
      <c r="A24" s="192"/>
      <c r="B24" s="118"/>
      <c r="C24" s="119"/>
      <c r="D24" s="120"/>
      <c r="E24" s="119"/>
      <c r="F24" s="119"/>
      <c r="G24" s="119"/>
      <c r="H24" s="119"/>
      <c r="I24" s="117"/>
      <c r="J24" s="118"/>
      <c r="K24" s="46"/>
      <c r="L24" s="46"/>
      <c r="M24" s="46"/>
      <c r="N24" s="117"/>
      <c r="O24" s="119"/>
      <c r="P24" s="119"/>
      <c r="Q24" s="120"/>
      <c r="R24" s="193"/>
      <c r="S24" s="194"/>
      <c r="T24" s="195"/>
      <c r="U24" s="195"/>
      <c r="V24" s="195"/>
      <c r="W24" s="195"/>
      <c r="X24" s="195"/>
      <c r="Y24" s="195"/>
      <c r="Z24" s="195"/>
      <c r="AA24" s="195"/>
    </row>
    <row r="25" ht="20.25" customHeight="1">
      <c r="A25" s="192"/>
      <c r="B25" s="118"/>
      <c r="C25" s="119"/>
      <c r="D25" s="120"/>
      <c r="E25" s="119"/>
      <c r="F25" s="119"/>
      <c r="G25" s="119"/>
      <c r="H25" s="119"/>
      <c r="I25" s="117"/>
      <c r="J25" s="118"/>
      <c r="K25" s="46"/>
      <c r="L25" s="46"/>
      <c r="M25" s="46"/>
      <c r="N25" s="117"/>
      <c r="O25" s="119"/>
      <c r="P25" s="119"/>
      <c r="Q25" s="120"/>
      <c r="R25" s="193"/>
      <c r="S25" s="194"/>
      <c r="T25" s="195"/>
      <c r="U25" s="195"/>
      <c r="V25" s="195"/>
      <c r="W25" s="195"/>
      <c r="X25" s="195"/>
      <c r="Y25" s="195"/>
      <c r="Z25" s="195"/>
      <c r="AA25" s="195"/>
    </row>
    <row r="26" ht="20.25" customHeight="1">
      <c r="A26" s="192"/>
      <c r="B26" s="118"/>
      <c r="C26" s="119"/>
      <c r="D26" s="120"/>
      <c r="E26" s="119"/>
      <c r="F26" s="119"/>
      <c r="G26" s="119"/>
      <c r="H26" s="119"/>
      <c r="I26" s="117"/>
      <c r="J26" s="118"/>
      <c r="K26" s="46"/>
      <c r="L26" s="46"/>
      <c r="M26" s="46"/>
      <c r="N26" s="117"/>
      <c r="O26" s="119"/>
      <c r="P26" s="119"/>
      <c r="Q26" s="120"/>
      <c r="R26" s="193"/>
      <c r="S26" s="194"/>
      <c r="T26" s="195"/>
      <c r="U26" s="195"/>
      <c r="V26" s="195"/>
      <c r="W26" s="195"/>
      <c r="X26" s="195"/>
      <c r="Y26" s="195"/>
      <c r="Z26" s="195"/>
      <c r="AA26" s="195"/>
    </row>
    <row r="27" ht="20.25" customHeight="1">
      <c r="A27" s="192"/>
      <c r="B27" s="118"/>
      <c r="C27" s="119"/>
      <c r="D27" s="120"/>
      <c r="E27" s="119"/>
      <c r="F27" s="119"/>
      <c r="G27" s="119"/>
      <c r="H27" s="119"/>
      <c r="I27" s="117"/>
      <c r="J27" s="118"/>
      <c r="K27" s="46"/>
      <c r="L27" s="46"/>
      <c r="M27" s="46"/>
      <c r="N27" s="117"/>
      <c r="O27" s="119"/>
      <c r="P27" s="119"/>
      <c r="Q27" s="120"/>
      <c r="R27" s="193"/>
      <c r="S27" s="194"/>
      <c r="T27" s="195"/>
      <c r="U27" s="195"/>
      <c r="V27" s="195"/>
      <c r="W27" s="195"/>
      <c r="X27" s="195"/>
      <c r="Y27" s="195"/>
      <c r="Z27" s="195"/>
      <c r="AA27" s="195"/>
    </row>
    <row r="28" ht="20.25" customHeight="1">
      <c r="A28" s="192"/>
      <c r="B28" s="118"/>
      <c r="C28" s="119"/>
      <c r="D28" s="120"/>
      <c r="E28" s="119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93"/>
      <c r="S28" s="194"/>
      <c r="T28" s="195"/>
      <c r="U28" s="195"/>
      <c r="V28" s="195"/>
      <c r="W28" s="195"/>
      <c r="X28" s="195"/>
      <c r="Y28" s="195"/>
      <c r="Z28" s="195"/>
      <c r="AA28" s="195"/>
    </row>
    <row r="29" ht="20.25" customHeight="1">
      <c r="A29" s="192"/>
      <c r="B29" s="118"/>
      <c r="C29" s="119"/>
      <c r="D29" s="120"/>
      <c r="E29" s="119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93"/>
      <c r="S29" s="194"/>
      <c r="T29" s="195"/>
      <c r="U29" s="195"/>
      <c r="V29" s="195"/>
      <c r="W29" s="195"/>
      <c r="X29" s="195"/>
      <c r="Y29" s="195"/>
      <c r="Z29" s="195"/>
      <c r="AA29" s="195"/>
    </row>
    <row r="30" ht="20.25" customHeight="1">
      <c r="A30" s="192"/>
      <c r="B30" s="118"/>
      <c r="C30" s="119"/>
      <c r="D30" s="120"/>
      <c r="E30" s="119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93"/>
      <c r="S30" s="194"/>
      <c r="T30" s="195"/>
      <c r="U30" s="195"/>
      <c r="V30" s="195"/>
      <c r="W30" s="195"/>
      <c r="X30" s="195"/>
      <c r="Y30" s="195"/>
      <c r="Z30" s="195"/>
      <c r="AA30" s="195"/>
    </row>
    <row r="31" ht="20.25" customHeight="1">
      <c r="A31" s="192"/>
      <c r="B31" s="118"/>
      <c r="C31" s="119"/>
      <c r="D31" s="120"/>
      <c r="E31" s="119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93"/>
      <c r="S31" s="194"/>
      <c r="T31" s="195"/>
      <c r="U31" s="195"/>
      <c r="V31" s="195"/>
      <c r="W31" s="195"/>
      <c r="X31" s="195"/>
      <c r="Y31" s="195"/>
      <c r="Z31" s="195"/>
      <c r="AA31" s="195"/>
    </row>
    <row r="32" ht="20.25" customHeight="1">
      <c r="A32" s="192"/>
      <c r="B32" s="118"/>
      <c r="C32" s="119"/>
      <c r="D32" s="120"/>
      <c r="E32" s="119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93"/>
      <c r="S32" s="194"/>
      <c r="T32" s="195"/>
      <c r="U32" s="195"/>
      <c r="V32" s="195"/>
      <c r="W32" s="195"/>
      <c r="X32" s="195"/>
      <c r="Y32" s="195"/>
      <c r="Z32" s="195"/>
      <c r="AA32" s="195"/>
    </row>
    <row r="33" ht="20.25" customHeight="1">
      <c r="A33" s="192"/>
      <c r="B33" s="118"/>
      <c r="C33" s="119"/>
      <c r="D33" s="120"/>
      <c r="E33" s="119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93"/>
      <c r="S33" s="194"/>
      <c r="T33" s="195"/>
      <c r="U33" s="195"/>
      <c r="V33" s="195"/>
      <c r="W33" s="195"/>
      <c r="X33" s="195"/>
      <c r="Y33" s="195"/>
      <c r="Z33" s="195"/>
      <c r="AA33" s="195"/>
    </row>
    <row r="34" ht="20.25" customHeight="1">
      <c r="A34" s="192"/>
      <c r="B34" s="118"/>
      <c r="C34" s="119"/>
      <c r="D34" s="120"/>
      <c r="E34" s="119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93"/>
      <c r="S34" s="194"/>
      <c r="T34" s="195"/>
      <c r="U34" s="195"/>
      <c r="V34" s="195"/>
      <c r="W34" s="195"/>
      <c r="X34" s="195"/>
      <c r="Y34" s="195"/>
      <c r="Z34" s="195"/>
      <c r="AA34" s="195"/>
    </row>
    <row r="35" ht="20.25" customHeight="1">
      <c r="A35" s="192"/>
      <c r="B35" s="118"/>
      <c r="C35" s="119"/>
      <c r="D35" s="120"/>
      <c r="E35" s="119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93"/>
      <c r="S35" s="194"/>
      <c r="T35" s="195"/>
      <c r="U35" s="195"/>
      <c r="V35" s="195"/>
      <c r="W35" s="195"/>
      <c r="X35" s="195"/>
      <c r="Y35" s="195"/>
      <c r="Z35" s="195"/>
      <c r="AA35" s="195"/>
    </row>
    <row r="36" ht="20.25" customHeight="1">
      <c r="A36" s="192"/>
      <c r="B36" s="118"/>
      <c r="C36" s="119"/>
      <c r="D36" s="120"/>
      <c r="E36" s="119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93"/>
      <c r="S36" s="194"/>
      <c r="T36" s="195"/>
      <c r="U36" s="195"/>
      <c r="V36" s="195"/>
      <c r="W36" s="195"/>
      <c r="X36" s="195"/>
      <c r="Y36" s="195"/>
      <c r="Z36" s="195"/>
      <c r="AA36" s="195"/>
    </row>
    <row r="37" ht="20.25" customHeight="1">
      <c r="A37" s="192"/>
      <c r="B37" s="118"/>
      <c r="C37" s="119"/>
      <c r="D37" s="120"/>
      <c r="E37" s="119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93"/>
      <c r="S37" s="194"/>
      <c r="T37" s="195"/>
      <c r="U37" s="195"/>
      <c r="V37" s="195"/>
      <c r="W37" s="195"/>
      <c r="X37" s="195"/>
      <c r="Y37" s="195"/>
      <c r="Z37" s="195"/>
      <c r="AA37" s="195"/>
    </row>
    <row r="38" ht="20.25" customHeight="1">
      <c r="A38" s="192"/>
      <c r="B38" s="118"/>
      <c r="C38" s="119"/>
      <c r="D38" s="120"/>
      <c r="E38" s="119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93"/>
      <c r="S38" s="194"/>
      <c r="T38" s="195"/>
      <c r="U38" s="195"/>
      <c r="V38" s="195"/>
      <c r="W38" s="195"/>
      <c r="X38" s="195"/>
      <c r="Y38" s="195"/>
      <c r="Z38" s="195"/>
      <c r="AA38" s="195"/>
    </row>
    <row r="39" ht="20.25" customHeight="1">
      <c r="A39" s="192"/>
      <c r="B39" s="118"/>
      <c r="C39" s="119"/>
      <c r="D39" s="120"/>
      <c r="E39" s="119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93"/>
      <c r="S39" s="194"/>
      <c r="T39" s="195"/>
      <c r="U39" s="195"/>
      <c r="V39" s="195"/>
      <c r="W39" s="195"/>
      <c r="X39" s="195"/>
      <c r="Y39" s="195"/>
      <c r="Z39" s="195"/>
      <c r="AA39" s="195"/>
    </row>
    <row r="40" ht="20.25" customHeight="1">
      <c r="A40" s="192"/>
      <c r="B40" s="118"/>
      <c r="C40" s="119"/>
      <c r="D40" s="120"/>
      <c r="E40" s="119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93"/>
      <c r="S40" s="194"/>
      <c r="T40" s="195"/>
      <c r="U40" s="195"/>
      <c r="V40" s="195"/>
      <c r="W40" s="195"/>
      <c r="X40" s="195"/>
      <c r="Y40" s="195"/>
      <c r="Z40" s="195"/>
      <c r="AA40" s="195"/>
    </row>
    <row r="41" ht="20.25" customHeight="1">
      <c r="A41" s="192"/>
      <c r="B41" s="118"/>
      <c r="C41" s="119"/>
      <c r="D41" s="120"/>
      <c r="E41" s="119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93"/>
      <c r="S41" s="194"/>
      <c r="T41" s="195"/>
      <c r="U41" s="195"/>
      <c r="V41" s="195"/>
      <c r="W41" s="195"/>
      <c r="X41" s="195"/>
      <c r="Y41" s="195"/>
      <c r="Z41" s="195"/>
      <c r="AA41" s="195"/>
    </row>
    <row r="42" ht="20.25" customHeight="1">
      <c r="A42" s="192"/>
      <c r="B42" s="118"/>
      <c r="C42" s="119"/>
      <c r="D42" s="120"/>
      <c r="E42" s="119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93"/>
      <c r="S42" s="194"/>
      <c r="T42" s="195"/>
      <c r="U42" s="195"/>
      <c r="V42" s="195"/>
      <c r="W42" s="195"/>
      <c r="X42" s="195"/>
      <c r="Y42" s="195"/>
      <c r="Z42" s="195"/>
      <c r="AA42" s="195"/>
    </row>
    <row r="43" ht="20.25" customHeight="1">
      <c r="A43" s="192"/>
      <c r="B43" s="118"/>
      <c r="C43" s="119"/>
      <c r="D43" s="120"/>
      <c r="E43" s="119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93"/>
      <c r="S43" s="194"/>
      <c r="T43" s="195"/>
      <c r="U43" s="195"/>
      <c r="V43" s="195"/>
      <c r="W43" s="195"/>
      <c r="X43" s="195"/>
      <c r="Y43" s="195"/>
      <c r="Z43" s="195"/>
      <c r="AA43" s="195"/>
    </row>
    <row r="44" ht="20.25" customHeight="1">
      <c r="A44" s="192"/>
      <c r="B44" s="118"/>
      <c r="C44" s="119"/>
      <c r="D44" s="120"/>
      <c r="E44" s="119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93"/>
      <c r="S44" s="194"/>
      <c r="T44" s="195"/>
      <c r="U44" s="195"/>
      <c r="V44" s="195"/>
      <c r="W44" s="195"/>
      <c r="X44" s="195"/>
      <c r="Y44" s="195"/>
      <c r="Z44" s="195"/>
      <c r="AA44" s="195"/>
    </row>
    <row r="45" ht="20.25" customHeight="1">
      <c r="A45" s="192"/>
      <c r="B45" s="118"/>
      <c r="C45" s="119"/>
      <c r="D45" s="120"/>
      <c r="E45" s="119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93"/>
      <c r="S45" s="194"/>
      <c r="T45" s="195"/>
      <c r="U45" s="195"/>
      <c r="V45" s="195"/>
      <c r="W45" s="195"/>
      <c r="X45" s="195"/>
      <c r="Y45" s="195"/>
      <c r="Z45" s="195"/>
      <c r="AA45" s="195"/>
    </row>
    <row r="46" ht="20.25" customHeight="1">
      <c r="A46" s="192"/>
      <c r="B46" s="118"/>
      <c r="C46" s="119"/>
      <c r="D46" s="120"/>
      <c r="E46" s="119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93"/>
      <c r="S46" s="194"/>
      <c r="T46" s="195"/>
      <c r="U46" s="195"/>
      <c r="V46" s="195"/>
      <c r="W46" s="195"/>
      <c r="X46" s="195"/>
      <c r="Y46" s="195"/>
      <c r="Z46" s="195"/>
      <c r="AA46" s="195"/>
    </row>
    <row r="47" ht="20.25" customHeight="1">
      <c r="A47" s="192"/>
      <c r="B47" s="118"/>
      <c r="C47" s="119"/>
      <c r="D47" s="120"/>
      <c r="E47" s="119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93"/>
      <c r="S47" s="194"/>
      <c r="T47" s="195"/>
      <c r="U47" s="195"/>
      <c r="V47" s="195"/>
      <c r="W47" s="195"/>
      <c r="X47" s="195"/>
      <c r="Y47" s="195"/>
      <c r="Z47" s="195"/>
      <c r="AA47" s="195"/>
    </row>
    <row r="48" ht="20.25" customHeight="1">
      <c r="A48" s="192"/>
      <c r="B48" s="118"/>
      <c r="C48" s="119"/>
      <c r="D48" s="120"/>
      <c r="E48" s="119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93"/>
      <c r="S48" s="194"/>
      <c r="T48" s="195"/>
      <c r="U48" s="195"/>
      <c r="V48" s="195"/>
      <c r="W48" s="195"/>
      <c r="X48" s="195"/>
      <c r="Y48" s="195"/>
      <c r="Z48" s="195"/>
      <c r="AA48" s="195"/>
    </row>
    <row r="49" ht="20.25" customHeight="1">
      <c r="A49" s="192"/>
      <c r="B49" s="118"/>
      <c r="C49" s="119"/>
      <c r="D49" s="120"/>
      <c r="E49" s="119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93"/>
      <c r="S49" s="194"/>
      <c r="T49" s="195"/>
      <c r="U49" s="195"/>
      <c r="V49" s="195"/>
      <c r="W49" s="195"/>
      <c r="X49" s="195"/>
      <c r="Y49" s="195"/>
      <c r="Z49" s="195"/>
      <c r="AA49" s="195"/>
    </row>
    <row r="50" ht="20.25" customHeight="1">
      <c r="A50" s="192"/>
      <c r="B50" s="118"/>
      <c r="C50" s="119"/>
      <c r="D50" s="120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93"/>
      <c r="S50" s="194"/>
      <c r="T50" s="195"/>
      <c r="U50" s="195"/>
      <c r="V50" s="195"/>
      <c r="W50" s="195"/>
      <c r="X50" s="195"/>
      <c r="Y50" s="195"/>
      <c r="Z50" s="195"/>
      <c r="AA50" s="195"/>
    </row>
    <row r="51" ht="20.25" customHeight="1">
      <c r="A51" s="192"/>
      <c r="B51" s="118"/>
      <c r="C51" s="119"/>
      <c r="D51" s="120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93"/>
      <c r="S51" s="194"/>
      <c r="T51" s="195"/>
      <c r="U51" s="195"/>
      <c r="V51" s="195"/>
      <c r="W51" s="195"/>
      <c r="X51" s="195"/>
      <c r="Y51" s="195"/>
      <c r="Z51" s="195"/>
      <c r="AA51" s="195"/>
    </row>
    <row r="52" ht="20.25" customHeight="1">
      <c r="A52" s="192"/>
      <c r="B52" s="118"/>
      <c r="C52" s="119"/>
      <c r="D52" s="120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93"/>
      <c r="S52" s="194"/>
      <c r="T52" s="195"/>
      <c r="U52" s="195"/>
      <c r="V52" s="195"/>
      <c r="W52" s="195"/>
      <c r="X52" s="195"/>
      <c r="Y52" s="195"/>
      <c r="Z52" s="195"/>
      <c r="AA52" s="195"/>
    </row>
    <row r="53" ht="20.25" customHeight="1">
      <c r="A53" s="192"/>
      <c r="B53" s="118"/>
      <c r="C53" s="119"/>
      <c r="D53" s="120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93"/>
      <c r="S53" s="194"/>
      <c r="T53" s="195"/>
      <c r="U53" s="195"/>
      <c r="V53" s="195"/>
      <c r="W53" s="195"/>
      <c r="X53" s="195"/>
      <c r="Y53" s="195"/>
      <c r="Z53" s="195"/>
      <c r="AA53" s="195"/>
    </row>
    <row r="54" ht="20.25" customHeight="1">
      <c r="A54" s="19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93"/>
      <c r="S54" s="194"/>
      <c r="T54" s="195"/>
      <c r="U54" s="195"/>
      <c r="V54" s="195"/>
      <c r="W54" s="195"/>
      <c r="X54" s="195"/>
      <c r="Y54" s="195"/>
      <c r="Z54" s="195"/>
      <c r="AA54" s="195"/>
    </row>
    <row r="55" ht="20.25" customHeight="1">
      <c r="A55" s="19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93"/>
      <c r="S55" s="194"/>
      <c r="T55" s="195"/>
      <c r="U55" s="195"/>
      <c r="V55" s="195"/>
      <c r="W55" s="195"/>
      <c r="X55" s="195"/>
      <c r="Y55" s="195"/>
      <c r="Z55" s="195"/>
      <c r="AA55" s="195"/>
    </row>
    <row r="56" ht="20.25" customHeight="1">
      <c r="A56" s="19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93"/>
      <c r="S56" s="194"/>
      <c r="T56" s="195"/>
      <c r="U56" s="195"/>
      <c r="V56" s="195"/>
      <c r="W56" s="195"/>
      <c r="X56" s="195"/>
      <c r="Y56" s="195"/>
      <c r="Z56" s="195"/>
      <c r="AA56" s="195"/>
    </row>
    <row r="57" ht="20.25" customHeight="1">
      <c r="A57" s="19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93"/>
      <c r="S57" s="194"/>
      <c r="T57" s="195"/>
      <c r="U57" s="195"/>
      <c r="V57" s="195"/>
      <c r="W57" s="195"/>
      <c r="X57" s="195"/>
      <c r="Y57" s="195"/>
      <c r="Z57" s="195"/>
      <c r="AA57" s="195"/>
    </row>
    <row r="58" ht="20.25" customHeight="1">
      <c r="A58" s="19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93"/>
      <c r="S58" s="194"/>
      <c r="T58" s="195"/>
      <c r="U58" s="195"/>
      <c r="V58" s="195"/>
      <c r="W58" s="195"/>
      <c r="X58" s="195"/>
      <c r="Y58" s="195"/>
      <c r="Z58" s="195"/>
      <c r="AA58" s="195"/>
    </row>
    <row r="59" ht="20.25" customHeight="1">
      <c r="A59" s="19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93"/>
      <c r="S59" s="194"/>
      <c r="T59" s="195"/>
      <c r="U59" s="195"/>
      <c r="V59" s="195"/>
      <c r="W59" s="195"/>
      <c r="X59" s="195"/>
      <c r="Y59" s="195"/>
      <c r="Z59" s="195"/>
      <c r="AA59" s="195"/>
    </row>
    <row r="60" ht="20.25" customHeight="1">
      <c r="A60" s="19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93"/>
      <c r="S60" s="194"/>
      <c r="T60" s="195"/>
      <c r="U60" s="195"/>
      <c r="V60" s="195"/>
      <c r="W60" s="195"/>
      <c r="X60" s="195"/>
      <c r="Y60" s="195"/>
      <c r="Z60" s="195"/>
      <c r="AA60" s="195"/>
    </row>
    <row r="61" ht="20.25" customHeight="1">
      <c r="A61" s="19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93"/>
      <c r="S61" s="194"/>
      <c r="T61" s="195"/>
      <c r="U61" s="195"/>
      <c r="V61" s="195"/>
      <c r="W61" s="195"/>
      <c r="X61" s="195"/>
      <c r="Y61" s="195"/>
      <c r="Z61" s="195"/>
      <c r="AA61" s="195"/>
    </row>
    <row r="62" ht="20.25" customHeight="1">
      <c r="A62" s="19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93"/>
      <c r="S62" s="194"/>
      <c r="T62" s="195"/>
      <c r="U62" s="195"/>
      <c r="V62" s="195"/>
      <c r="W62" s="195"/>
      <c r="X62" s="195"/>
      <c r="Y62" s="195"/>
      <c r="Z62" s="195"/>
      <c r="AA62" s="195"/>
    </row>
    <row r="63" ht="20.25" customHeight="1">
      <c r="A63" s="19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93"/>
      <c r="S63" s="194"/>
      <c r="T63" s="195"/>
      <c r="U63" s="195"/>
      <c r="V63" s="195"/>
      <c r="W63" s="195"/>
      <c r="X63" s="195"/>
      <c r="Y63" s="195"/>
      <c r="Z63" s="195"/>
      <c r="AA63" s="195"/>
    </row>
    <row r="64" ht="20.25" customHeight="1">
      <c r="A64" s="19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93"/>
      <c r="S64" s="194"/>
      <c r="T64" s="195"/>
      <c r="U64" s="195"/>
      <c r="V64" s="195"/>
      <c r="W64" s="195"/>
      <c r="X64" s="195"/>
      <c r="Y64" s="195"/>
      <c r="Z64" s="195"/>
      <c r="AA64" s="195"/>
    </row>
    <row r="65" ht="20.25" customHeight="1">
      <c r="A65" s="19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93"/>
      <c r="S65" s="194"/>
      <c r="T65" s="195"/>
      <c r="U65" s="195"/>
      <c r="V65" s="195"/>
      <c r="W65" s="195"/>
      <c r="X65" s="195"/>
      <c r="Y65" s="195"/>
      <c r="Z65" s="195"/>
      <c r="AA65" s="195"/>
    </row>
    <row r="66" ht="20.25" customHeight="1">
      <c r="A66" s="19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93"/>
      <c r="S66" s="194"/>
      <c r="T66" s="195"/>
      <c r="U66" s="195"/>
      <c r="V66" s="195"/>
      <c r="W66" s="195"/>
      <c r="X66" s="195"/>
      <c r="Y66" s="195"/>
      <c r="Z66" s="195"/>
      <c r="AA66" s="195"/>
    </row>
    <row r="67" ht="20.25" customHeight="1">
      <c r="A67" s="19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93"/>
      <c r="S67" s="194"/>
      <c r="T67" s="195"/>
      <c r="U67" s="195"/>
      <c r="V67" s="195"/>
      <c r="W67" s="195"/>
      <c r="X67" s="195"/>
      <c r="Y67" s="195"/>
      <c r="Z67" s="195"/>
      <c r="AA67" s="195"/>
    </row>
    <row r="68" ht="20.25" customHeight="1">
      <c r="A68" s="19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93"/>
      <c r="S68" s="194"/>
      <c r="T68" s="195"/>
      <c r="U68" s="195"/>
      <c r="V68" s="195"/>
      <c r="W68" s="195"/>
      <c r="X68" s="195"/>
      <c r="Y68" s="195"/>
      <c r="Z68" s="195"/>
      <c r="AA68" s="195"/>
    </row>
    <row r="69" ht="20.25" customHeight="1">
      <c r="A69" s="19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93"/>
      <c r="S69" s="194"/>
      <c r="T69" s="195"/>
      <c r="U69" s="195"/>
      <c r="V69" s="195"/>
      <c r="W69" s="195"/>
      <c r="X69" s="195"/>
      <c r="Y69" s="195"/>
      <c r="Z69" s="195"/>
      <c r="AA69" s="195"/>
    </row>
    <row r="70" ht="20.25" customHeight="1">
      <c r="A70" s="19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93"/>
      <c r="S70" s="194"/>
      <c r="T70" s="195"/>
      <c r="U70" s="195"/>
      <c r="V70" s="195"/>
      <c r="W70" s="195"/>
      <c r="X70" s="195"/>
      <c r="Y70" s="195"/>
      <c r="Z70" s="195"/>
      <c r="AA70" s="195"/>
    </row>
    <row r="71" ht="20.25" customHeight="1">
      <c r="A71" s="19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93"/>
      <c r="S71" s="194"/>
      <c r="T71" s="195"/>
      <c r="U71" s="195"/>
      <c r="V71" s="195"/>
      <c r="W71" s="195"/>
      <c r="X71" s="195"/>
      <c r="Y71" s="195"/>
      <c r="Z71" s="195"/>
      <c r="AA71" s="195"/>
    </row>
    <row r="72" ht="20.25" customHeight="1">
      <c r="A72" s="19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93"/>
      <c r="S72" s="194"/>
      <c r="T72" s="195"/>
      <c r="U72" s="195"/>
      <c r="V72" s="195"/>
      <c r="W72" s="195"/>
      <c r="X72" s="195"/>
      <c r="Y72" s="195"/>
      <c r="Z72" s="195"/>
      <c r="AA72" s="195"/>
    </row>
    <row r="73" ht="20.25" customHeight="1">
      <c r="A73" s="19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93"/>
      <c r="S73" s="194"/>
      <c r="T73" s="195"/>
      <c r="U73" s="195"/>
      <c r="V73" s="195"/>
      <c r="W73" s="195"/>
      <c r="X73" s="195"/>
      <c r="Y73" s="195"/>
      <c r="Z73" s="195"/>
      <c r="AA73" s="195"/>
    </row>
    <row r="74" ht="20.25" customHeight="1">
      <c r="A74" s="19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93"/>
      <c r="S74" s="194"/>
      <c r="T74" s="195"/>
      <c r="U74" s="195"/>
      <c r="V74" s="195"/>
      <c r="W74" s="195"/>
      <c r="X74" s="195"/>
      <c r="Y74" s="195"/>
      <c r="Z74" s="195"/>
      <c r="AA74" s="195"/>
    </row>
    <row r="75" ht="20.25" customHeight="1">
      <c r="A75" s="19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93"/>
      <c r="S75" s="194"/>
      <c r="T75" s="195"/>
      <c r="U75" s="195"/>
      <c r="V75" s="195"/>
      <c r="W75" s="195"/>
      <c r="X75" s="195"/>
      <c r="Y75" s="195"/>
      <c r="Z75" s="195"/>
      <c r="AA75" s="195"/>
    </row>
    <row r="76" ht="20.25" customHeight="1">
      <c r="A76" s="19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93"/>
      <c r="S76" s="194"/>
      <c r="T76" s="195"/>
      <c r="U76" s="195"/>
      <c r="V76" s="195"/>
      <c r="W76" s="195"/>
      <c r="X76" s="195"/>
      <c r="Y76" s="195"/>
      <c r="Z76" s="195"/>
      <c r="AA76" s="195"/>
    </row>
    <row r="77" ht="20.25" customHeight="1">
      <c r="A77" s="19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93"/>
      <c r="S77" s="194"/>
      <c r="T77" s="195"/>
      <c r="U77" s="195"/>
      <c r="V77" s="195"/>
      <c r="W77" s="195"/>
      <c r="X77" s="195"/>
      <c r="Y77" s="195"/>
      <c r="Z77" s="195"/>
      <c r="AA77" s="195"/>
    </row>
    <row r="78" ht="20.25" customHeight="1">
      <c r="A78" s="19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93"/>
      <c r="S78" s="194"/>
      <c r="T78" s="195"/>
      <c r="U78" s="195"/>
      <c r="V78" s="195"/>
      <c r="W78" s="195"/>
      <c r="X78" s="195"/>
      <c r="Y78" s="195"/>
      <c r="Z78" s="195"/>
      <c r="AA78" s="195"/>
    </row>
    <row r="79" ht="20.25" customHeight="1">
      <c r="A79" s="19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93"/>
      <c r="S79" s="194"/>
      <c r="T79" s="195"/>
      <c r="U79" s="195"/>
      <c r="V79" s="195"/>
      <c r="W79" s="195"/>
      <c r="X79" s="195"/>
      <c r="Y79" s="195"/>
      <c r="Z79" s="195"/>
      <c r="AA79" s="195"/>
    </row>
    <row r="80" ht="20.25" customHeight="1">
      <c r="A80" s="19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93"/>
      <c r="S80" s="194"/>
      <c r="T80" s="195"/>
      <c r="U80" s="195"/>
      <c r="V80" s="195"/>
      <c r="W80" s="195"/>
      <c r="X80" s="195"/>
      <c r="Y80" s="195"/>
      <c r="Z80" s="195"/>
      <c r="AA80" s="19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0 G11:G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C11:C80">
      <formula1>'Elenco Dip Sedi'!$D$5:$D$32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G11:G80">
      <formula1>'Elenco Dip Sedi'!$C$5:$C$32</formula1>
    </dataValidation>
    <dataValidation type="list" allowBlank="1" showErrorMessage="1" sqref="P11:P80">
      <formula1>'Elenco Dip Sedi'!$K$5:$K$32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E11:E80">
      <formula1>'Elenco Dip Sedi'!$N$5:$N$32</formula1>
    </dataValidation>
    <dataValidation type="list" allowBlank="1" showErrorMessage="1" sqref="F11:F80">
      <formula1>"M,F"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3.38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57"/>
      <c r="D1" s="156" t="s">
        <v>66</v>
      </c>
      <c r="E1" s="157" t="s">
        <v>67</v>
      </c>
      <c r="F1" s="53"/>
      <c r="G1" s="158" t="s">
        <v>103</v>
      </c>
      <c r="H1" s="159"/>
      <c r="I1" s="55"/>
      <c r="J1" s="56"/>
      <c r="L1" s="56"/>
      <c r="M1" s="57"/>
      <c r="N1" s="58"/>
      <c r="O1" s="59"/>
      <c r="P1" s="60"/>
      <c r="Q1" s="61"/>
    </row>
    <row r="2" ht="20.25" customHeight="1">
      <c r="D2" s="160"/>
      <c r="E2" s="160"/>
      <c r="F2" s="53"/>
      <c r="G2" s="161"/>
      <c r="H2" s="162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63"/>
      <c r="E3" s="164"/>
      <c r="F3" s="53"/>
      <c r="G3" s="57"/>
      <c r="H3" s="57"/>
      <c r="I3" s="70"/>
      <c r="J3" s="165"/>
      <c r="K3" s="165"/>
      <c r="L3" s="165"/>
      <c r="M3" s="166"/>
      <c r="N3" s="167"/>
      <c r="O3" s="72"/>
      <c r="P3" s="69"/>
      <c r="Q3" s="61"/>
    </row>
    <row r="4" ht="21.0" customHeight="1">
      <c r="D4" s="168"/>
      <c r="E4" s="169"/>
      <c r="F4" s="84"/>
      <c r="G4" s="84"/>
      <c r="H4" s="84"/>
      <c r="I4" s="170"/>
      <c r="J4" s="171"/>
      <c r="K4" s="171"/>
      <c r="L4" s="171"/>
      <c r="M4" s="78"/>
      <c r="N4" s="89"/>
      <c r="O4" s="172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73"/>
      <c r="E5" s="174"/>
      <c r="F5" s="175"/>
      <c r="G5" s="176"/>
      <c r="H5" s="177"/>
      <c r="I5" s="178"/>
      <c r="J5" s="179" t="s">
        <v>104</v>
      </c>
      <c r="L5" s="180"/>
      <c r="M5" s="181"/>
      <c r="N5" s="182"/>
      <c r="O5" s="183"/>
      <c r="P5" s="184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99"/>
      <c r="E6" s="77"/>
      <c r="F6" s="76"/>
      <c r="G6" s="77"/>
      <c r="H6" s="78"/>
      <c r="I6" s="80" t="s">
        <v>105</v>
      </c>
      <c r="L6" s="186">
        <f>SUMIF(A11:A140,"INZIA IL TRATTAMENTO-VENDITA", I11:I140)</f>
        <v>0</v>
      </c>
      <c r="M6" s="187"/>
      <c r="O6" s="82"/>
      <c r="P6" s="18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89" t="s">
        <v>106</v>
      </c>
      <c r="K7" s="78"/>
      <c r="L7" s="190">
        <f>L6+SUMIFS('OPPORTUNITA DI VENDITA'!J198:J513,'OPPORTUNITA DI VENDITA'!C198:C513, "&gt;=01/08/2026", 'OPPORTUNITA DI VENDITA'!C198:C513, "&lt;=31/08/2026",'OPPORTUNITA DI VENDITA'!B198:B513,"ESEGUITO")</f>
        <v>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236" t="s">
        <v>107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91"/>
      <c r="C10" s="191"/>
      <c r="D10" s="191"/>
      <c r="E10" s="191"/>
      <c r="F10" s="114"/>
      <c r="G10" s="191"/>
      <c r="H10" s="191"/>
      <c r="I10" s="191"/>
      <c r="J10" s="237"/>
      <c r="K10" s="237"/>
      <c r="L10" s="237"/>
      <c r="M10" s="237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0.25" customHeight="1">
      <c r="A11" s="192"/>
      <c r="B11" s="118"/>
      <c r="C11" s="119"/>
      <c r="D11" s="120"/>
      <c r="E11" s="119"/>
      <c r="F11" s="119"/>
      <c r="G11" s="119"/>
      <c r="H11" s="119"/>
      <c r="I11" s="117"/>
      <c r="J11" s="118"/>
      <c r="K11" s="46"/>
      <c r="L11" s="46"/>
      <c r="M11" s="46"/>
      <c r="N11" s="117"/>
      <c r="O11" s="119"/>
      <c r="P11" s="119"/>
      <c r="Q11" s="120"/>
      <c r="R11" s="193"/>
      <c r="S11" s="194"/>
      <c r="T11" s="195"/>
      <c r="U11" s="195"/>
      <c r="V11" s="195"/>
      <c r="W11" s="195"/>
      <c r="X11" s="195"/>
      <c r="Y11" s="195"/>
      <c r="Z11" s="195"/>
      <c r="AA11" s="195"/>
    </row>
    <row r="12" ht="20.25" customHeight="1">
      <c r="A12" s="192"/>
      <c r="B12" s="118"/>
      <c r="C12" s="119"/>
      <c r="D12" s="120"/>
      <c r="E12" s="119"/>
      <c r="F12" s="119"/>
      <c r="G12" s="119"/>
      <c r="H12" s="119"/>
      <c r="I12" s="117"/>
      <c r="J12" s="118"/>
      <c r="K12" s="46"/>
      <c r="L12" s="46"/>
      <c r="M12" s="46"/>
      <c r="N12" s="117"/>
      <c r="O12" s="119"/>
      <c r="P12" s="119"/>
      <c r="Q12" s="120"/>
      <c r="R12" s="193"/>
      <c r="S12" s="194"/>
      <c r="T12" s="195"/>
      <c r="U12" s="195"/>
      <c r="V12" s="195"/>
      <c r="W12" s="195"/>
      <c r="X12" s="195"/>
      <c r="Y12" s="195"/>
      <c r="Z12" s="195"/>
      <c r="AA12" s="195"/>
    </row>
    <row r="13" ht="20.25" customHeight="1">
      <c r="A13" s="192"/>
      <c r="B13" s="118"/>
      <c r="C13" s="119"/>
      <c r="D13" s="120"/>
      <c r="E13" s="119"/>
      <c r="F13" s="119"/>
      <c r="G13" s="119"/>
      <c r="H13" s="119"/>
      <c r="I13" s="117"/>
      <c r="J13" s="118"/>
      <c r="K13" s="46"/>
      <c r="L13" s="46"/>
      <c r="M13" s="46"/>
      <c r="N13" s="117"/>
      <c r="O13" s="119"/>
      <c r="P13" s="119"/>
      <c r="Q13" s="120"/>
      <c r="R13" s="193"/>
      <c r="S13" s="194"/>
      <c r="T13" s="195"/>
      <c r="U13" s="195"/>
      <c r="V13" s="195"/>
      <c r="W13" s="195"/>
      <c r="X13" s="195"/>
      <c r="Y13" s="195"/>
      <c r="Z13" s="195"/>
      <c r="AA13" s="195"/>
    </row>
    <row r="14" ht="20.25" customHeight="1">
      <c r="A14" s="192"/>
      <c r="B14" s="118"/>
      <c r="C14" s="119"/>
      <c r="D14" s="120"/>
      <c r="E14" s="119"/>
      <c r="F14" s="119"/>
      <c r="G14" s="119"/>
      <c r="H14" s="119"/>
      <c r="I14" s="117"/>
      <c r="J14" s="118"/>
      <c r="K14" s="46"/>
      <c r="L14" s="46"/>
      <c r="M14" s="46"/>
      <c r="N14" s="117"/>
      <c r="O14" s="119"/>
      <c r="P14" s="119"/>
      <c r="Q14" s="120"/>
      <c r="R14" s="193"/>
      <c r="S14" s="194"/>
      <c r="T14" s="195"/>
      <c r="U14" s="195"/>
      <c r="V14" s="195"/>
      <c r="W14" s="195"/>
      <c r="X14" s="195"/>
      <c r="Y14" s="195"/>
      <c r="Z14" s="195"/>
      <c r="AA14" s="195"/>
    </row>
    <row r="15" ht="20.25" customHeight="1">
      <c r="A15" s="192"/>
      <c r="B15" s="118"/>
      <c r="C15" s="119"/>
      <c r="D15" s="120"/>
      <c r="E15" s="119"/>
      <c r="F15" s="119"/>
      <c r="G15" s="119"/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93"/>
      <c r="S15" s="194"/>
      <c r="T15" s="195"/>
      <c r="U15" s="195"/>
      <c r="V15" s="195"/>
      <c r="W15" s="195"/>
      <c r="X15" s="195"/>
      <c r="Y15" s="195"/>
      <c r="Z15" s="195"/>
      <c r="AA15" s="195"/>
    </row>
    <row r="16" ht="20.25" customHeight="1">
      <c r="A16" s="192"/>
      <c r="B16" s="118"/>
      <c r="C16" s="119"/>
      <c r="D16" s="120"/>
      <c r="E16" s="119"/>
      <c r="F16" s="119"/>
      <c r="G16" s="119"/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93"/>
      <c r="S16" s="194"/>
      <c r="T16" s="195"/>
      <c r="U16" s="195"/>
      <c r="V16" s="195"/>
      <c r="W16" s="195"/>
      <c r="X16" s="195"/>
      <c r="Y16" s="195"/>
      <c r="Z16" s="195"/>
      <c r="AA16" s="195"/>
    </row>
    <row r="17" ht="20.25" customHeight="1">
      <c r="A17" s="192"/>
      <c r="B17" s="118"/>
      <c r="C17" s="119"/>
      <c r="D17" s="120"/>
      <c r="E17" s="119"/>
      <c r="F17" s="119"/>
      <c r="G17" s="119"/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93"/>
      <c r="S17" s="194"/>
      <c r="T17" s="195"/>
      <c r="U17" s="195"/>
      <c r="V17" s="195"/>
      <c r="W17" s="195"/>
      <c r="X17" s="195"/>
      <c r="Y17" s="195"/>
      <c r="Z17" s="195"/>
      <c r="AA17" s="195"/>
    </row>
    <row r="18" ht="20.25" customHeight="1">
      <c r="A18" s="192"/>
      <c r="B18" s="118"/>
      <c r="C18" s="119"/>
      <c r="D18" s="120"/>
      <c r="E18" s="119"/>
      <c r="F18" s="119"/>
      <c r="G18" s="119"/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93"/>
      <c r="S18" s="194"/>
      <c r="T18" s="195"/>
      <c r="U18" s="195"/>
      <c r="V18" s="195"/>
      <c r="W18" s="195"/>
      <c r="X18" s="195"/>
      <c r="Y18" s="195"/>
      <c r="Z18" s="195"/>
      <c r="AA18" s="195"/>
    </row>
    <row r="19" ht="20.25" customHeight="1">
      <c r="A19" s="192"/>
      <c r="B19" s="118"/>
      <c r="C19" s="119"/>
      <c r="D19" s="120"/>
      <c r="E19" s="119"/>
      <c r="F19" s="119"/>
      <c r="G19" s="119"/>
      <c r="H19" s="119"/>
      <c r="I19" s="117"/>
      <c r="J19" s="118"/>
      <c r="K19" s="46"/>
      <c r="L19" s="46"/>
      <c r="M19" s="46"/>
      <c r="N19" s="117"/>
      <c r="O19" s="119"/>
      <c r="P19" s="119"/>
      <c r="Q19" s="120"/>
      <c r="R19" s="193"/>
      <c r="S19" s="194"/>
      <c r="T19" s="195"/>
      <c r="U19" s="195"/>
      <c r="V19" s="195"/>
      <c r="W19" s="195"/>
      <c r="X19" s="195"/>
      <c r="Y19" s="195"/>
      <c r="Z19" s="195"/>
      <c r="AA19" s="195"/>
    </row>
    <row r="20" ht="20.25" customHeight="1">
      <c r="A20" s="192"/>
      <c r="B20" s="118"/>
      <c r="C20" s="119"/>
      <c r="D20" s="120"/>
      <c r="E20" s="119"/>
      <c r="F20" s="119"/>
      <c r="G20" s="119"/>
      <c r="H20" s="119"/>
      <c r="I20" s="117"/>
      <c r="J20" s="118"/>
      <c r="K20" s="46"/>
      <c r="L20" s="46"/>
      <c r="M20" s="46"/>
      <c r="N20" s="117"/>
      <c r="O20" s="119"/>
      <c r="P20" s="119"/>
      <c r="Q20" s="120"/>
      <c r="R20" s="193"/>
      <c r="S20" s="194"/>
      <c r="T20" s="195"/>
      <c r="U20" s="195"/>
      <c r="V20" s="195"/>
      <c r="W20" s="195"/>
      <c r="X20" s="195"/>
      <c r="Y20" s="195"/>
      <c r="Z20" s="195"/>
      <c r="AA20" s="195"/>
    </row>
    <row r="21" ht="20.25" customHeight="1">
      <c r="A21" s="192"/>
      <c r="B21" s="118"/>
      <c r="C21" s="119"/>
      <c r="D21" s="120"/>
      <c r="E21" s="119"/>
      <c r="F21" s="119"/>
      <c r="G21" s="119"/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193"/>
      <c r="S21" s="194"/>
      <c r="T21" s="195"/>
      <c r="U21" s="195"/>
      <c r="V21" s="195"/>
      <c r="W21" s="195"/>
      <c r="X21" s="195"/>
      <c r="Y21" s="195"/>
      <c r="Z21" s="195"/>
      <c r="AA21" s="195"/>
    </row>
    <row r="22" ht="20.25" customHeight="1">
      <c r="A22" s="192"/>
      <c r="B22" s="118"/>
      <c r="C22" s="119"/>
      <c r="D22" s="120"/>
      <c r="E22" s="119"/>
      <c r="F22" s="119"/>
      <c r="G22" s="119"/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93"/>
      <c r="S22" s="194"/>
      <c r="T22" s="195"/>
      <c r="U22" s="195"/>
      <c r="V22" s="195"/>
      <c r="W22" s="195"/>
      <c r="X22" s="195"/>
      <c r="Y22" s="195"/>
      <c r="Z22" s="195"/>
      <c r="AA22" s="195"/>
    </row>
    <row r="23" ht="20.25" customHeight="1">
      <c r="A23" s="192"/>
      <c r="B23" s="118"/>
      <c r="C23" s="119"/>
      <c r="D23" s="120"/>
      <c r="E23" s="119"/>
      <c r="F23" s="119"/>
      <c r="G23" s="119"/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93"/>
      <c r="S23" s="194"/>
      <c r="T23" s="195"/>
      <c r="U23" s="195"/>
      <c r="V23" s="195"/>
      <c r="W23" s="195"/>
      <c r="X23" s="195"/>
      <c r="Y23" s="195"/>
      <c r="Z23" s="195"/>
      <c r="AA23" s="195"/>
    </row>
    <row r="24" ht="20.25" customHeight="1">
      <c r="A24" s="192"/>
      <c r="B24" s="118"/>
      <c r="C24" s="119"/>
      <c r="D24" s="120"/>
      <c r="E24" s="119"/>
      <c r="F24" s="119"/>
      <c r="G24" s="119"/>
      <c r="H24" s="119"/>
      <c r="I24" s="117"/>
      <c r="J24" s="118"/>
      <c r="K24" s="46"/>
      <c r="L24" s="46"/>
      <c r="M24" s="46"/>
      <c r="N24" s="117"/>
      <c r="O24" s="119"/>
      <c r="P24" s="119"/>
      <c r="Q24" s="120"/>
      <c r="R24" s="193"/>
      <c r="S24" s="194"/>
      <c r="T24" s="195"/>
      <c r="U24" s="195"/>
      <c r="V24" s="195"/>
      <c r="W24" s="195"/>
      <c r="X24" s="195"/>
      <c r="Y24" s="195"/>
      <c r="Z24" s="195"/>
      <c r="AA24" s="195"/>
    </row>
    <row r="25" ht="20.25" customHeight="1">
      <c r="A25" s="192"/>
      <c r="B25" s="118"/>
      <c r="C25" s="119"/>
      <c r="D25" s="120"/>
      <c r="E25" s="119"/>
      <c r="F25" s="119"/>
      <c r="G25" s="119"/>
      <c r="H25" s="119"/>
      <c r="I25" s="117"/>
      <c r="J25" s="118"/>
      <c r="K25" s="46"/>
      <c r="L25" s="46"/>
      <c r="M25" s="46"/>
      <c r="N25" s="117"/>
      <c r="O25" s="119"/>
      <c r="P25" s="119"/>
      <c r="Q25" s="120"/>
      <c r="R25" s="193"/>
      <c r="S25" s="194"/>
      <c r="T25" s="195"/>
      <c r="U25" s="195"/>
      <c r="V25" s="195"/>
      <c r="W25" s="195"/>
      <c r="X25" s="195"/>
      <c r="Y25" s="195"/>
      <c r="Z25" s="195"/>
      <c r="AA25" s="195"/>
    </row>
    <row r="26" ht="20.25" customHeight="1">
      <c r="A26" s="192"/>
      <c r="B26" s="118"/>
      <c r="C26" s="119"/>
      <c r="D26" s="120"/>
      <c r="E26" s="119"/>
      <c r="F26" s="119"/>
      <c r="G26" s="119"/>
      <c r="H26" s="119"/>
      <c r="I26" s="117"/>
      <c r="J26" s="118"/>
      <c r="K26" s="46"/>
      <c r="L26" s="46"/>
      <c r="M26" s="46"/>
      <c r="N26" s="117"/>
      <c r="O26" s="119"/>
      <c r="P26" s="119"/>
      <c r="Q26" s="120"/>
      <c r="R26" s="193"/>
      <c r="S26" s="194"/>
      <c r="T26" s="195"/>
      <c r="U26" s="195"/>
      <c r="V26" s="195"/>
      <c r="W26" s="195"/>
      <c r="X26" s="195"/>
      <c r="Y26" s="195"/>
      <c r="Z26" s="195"/>
      <c r="AA26" s="195"/>
    </row>
    <row r="27" ht="20.25" customHeight="1">
      <c r="A27" s="192"/>
      <c r="B27" s="118"/>
      <c r="C27" s="119"/>
      <c r="D27" s="120"/>
      <c r="E27" s="119"/>
      <c r="F27" s="119"/>
      <c r="G27" s="119"/>
      <c r="H27" s="119"/>
      <c r="I27" s="117"/>
      <c r="J27" s="118"/>
      <c r="K27" s="46"/>
      <c r="L27" s="46"/>
      <c r="M27" s="46"/>
      <c r="N27" s="117"/>
      <c r="O27" s="119"/>
      <c r="P27" s="119"/>
      <c r="Q27" s="120"/>
      <c r="R27" s="193"/>
      <c r="S27" s="194"/>
      <c r="T27" s="195"/>
      <c r="U27" s="195"/>
      <c r="V27" s="195"/>
      <c r="W27" s="195"/>
      <c r="X27" s="195"/>
      <c r="Y27" s="195"/>
      <c r="Z27" s="195"/>
      <c r="AA27" s="195"/>
    </row>
    <row r="28" ht="20.25" customHeight="1">
      <c r="A28" s="192"/>
      <c r="B28" s="118"/>
      <c r="C28" s="119"/>
      <c r="D28" s="120"/>
      <c r="E28" s="119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93"/>
      <c r="S28" s="194"/>
      <c r="T28" s="195"/>
      <c r="U28" s="195"/>
      <c r="V28" s="195"/>
      <c r="W28" s="195"/>
      <c r="X28" s="195"/>
      <c r="Y28" s="195"/>
      <c r="Z28" s="195"/>
      <c r="AA28" s="195"/>
    </row>
    <row r="29" ht="20.25" customHeight="1">
      <c r="A29" s="192"/>
      <c r="B29" s="118"/>
      <c r="C29" s="119"/>
      <c r="D29" s="120"/>
      <c r="E29" s="119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93"/>
      <c r="S29" s="194"/>
      <c r="T29" s="195"/>
      <c r="U29" s="195"/>
      <c r="V29" s="195"/>
      <c r="W29" s="195"/>
      <c r="X29" s="195"/>
      <c r="Y29" s="195"/>
      <c r="Z29" s="195"/>
      <c r="AA29" s="195"/>
    </row>
    <row r="30" ht="20.25" customHeight="1">
      <c r="A30" s="192"/>
      <c r="B30" s="118"/>
      <c r="C30" s="119"/>
      <c r="D30" s="120"/>
      <c r="E30" s="119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93"/>
      <c r="S30" s="194"/>
      <c r="T30" s="195"/>
      <c r="U30" s="195"/>
      <c r="V30" s="195"/>
      <c r="W30" s="195"/>
      <c r="X30" s="195"/>
      <c r="Y30" s="195"/>
      <c r="Z30" s="195"/>
      <c r="AA30" s="195"/>
    </row>
    <row r="31" ht="20.25" customHeight="1">
      <c r="A31" s="192"/>
      <c r="B31" s="118"/>
      <c r="C31" s="119"/>
      <c r="D31" s="120"/>
      <c r="E31" s="119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93"/>
      <c r="S31" s="194"/>
      <c r="T31" s="195"/>
      <c r="U31" s="195"/>
      <c r="V31" s="195"/>
      <c r="W31" s="195"/>
      <c r="X31" s="195"/>
      <c r="Y31" s="195"/>
      <c r="Z31" s="195"/>
      <c r="AA31" s="195"/>
    </row>
    <row r="32" ht="20.25" customHeight="1">
      <c r="A32" s="192"/>
      <c r="B32" s="118"/>
      <c r="C32" s="119"/>
      <c r="D32" s="120"/>
      <c r="E32" s="119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93"/>
      <c r="S32" s="194"/>
      <c r="T32" s="195"/>
      <c r="U32" s="195"/>
      <c r="V32" s="195"/>
      <c r="W32" s="195"/>
      <c r="X32" s="195"/>
      <c r="Y32" s="195"/>
      <c r="Z32" s="195"/>
      <c r="AA32" s="195"/>
    </row>
    <row r="33" ht="20.25" customHeight="1">
      <c r="A33" s="192"/>
      <c r="B33" s="118"/>
      <c r="C33" s="119"/>
      <c r="D33" s="120"/>
      <c r="E33" s="119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93"/>
      <c r="S33" s="194"/>
      <c r="T33" s="195"/>
      <c r="U33" s="195"/>
      <c r="V33" s="195"/>
      <c r="W33" s="195"/>
      <c r="X33" s="195"/>
      <c r="Y33" s="195"/>
      <c r="Z33" s="195"/>
      <c r="AA33" s="195"/>
    </row>
    <row r="34" ht="20.25" customHeight="1">
      <c r="A34" s="192"/>
      <c r="B34" s="118"/>
      <c r="C34" s="119"/>
      <c r="D34" s="120"/>
      <c r="E34" s="119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93"/>
      <c r="S34" s="194"/>
      <c r="T34" s="195"/>
      <c r="U34" s="195"/>
      <c r="V34" s="195"/>
      <c r="W34" s="195"/>
      <c r="X34" s="195"/>
      <c r="Y34" s="195"/>
      <c r="Z34" s="195"/>
      <c r="AA34" s="195"/>
    </row>
    <row r="35" ht="20.25" customHeight="1">
      <c r="A35" s="192"/>
      <c r="B35" s="118"/>
      <c r="C35" s="119"/>
      <c r="D35" s="120"/>
      <c r="E35" s="119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93"/>
      <c r="S35" s="194"/>
      <c r="T35" s="195"/>
      <c r="U35" s="195"/>
      <c r="V35" s="195"/>
      <c r="W35" s="195"/>
      <c r="X35" s="195"/>
      <c r="Y35" s="195"/>
      <c r="Z35" s="195"/>
      <c r="AA35" s="195"/>
    </row>
    <row r="36" ht="20.25" customHeight="1">
      <c r="A36" s="192"/>
      <c r="B36" s="118"/>
      <c r="C36" s="119"/>
      <c r="D36" s="120"/>
      <c r="E36" s="119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93"/>
      <c r="S36" s="194"/>
      <c r="T36" s="195"/>
      <c r="U36" s="195"/>
      <c r="V36" s="195"/>
      <c r="W36" s="195"/>
      <c r="X36" s="195"/>
      <c r="Y36" s="195"/>
      <c r="Z36" s="195"/>
      <c r="AA36" s="195"/>
    </row>
    <row r="37" ht="20.25" customHeight="1">
      <c r="A37" s="192"/>
      <c r="B37" s="118"/>
      <c r="C37" s="119"/>
      <c r="D37" s="120"/>
      <c r="E37" s="119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93"/>
      <c r="S37" s="194"/>
      <c r="T37" s="195"/>
      <c r="U37" s="195"/>
      <c r="V37" s="195"/>
      <c r="W37" s="195"/>
      <c r="X37" s="195"/>
      <c r="Y37" s="195"/>
      <c r="Z37" s="195"/>
      <c r="AA37" s="195"/>
    </row>
    <row r="38" ht="20.25" customHeight="1">
      <c r="A38" s="192"/>
      <c r="B38" s="118"/>
      <c r="C38" s="119"/>
      <c r="D38" s="120"/>
      <c r="E38" s="119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93"/>
      <c r="S38" s="194"/>
      <c r="T38" s="195"/>
      <c r="U38" s="195"/>
      <c r="V38" s="195"/>
      <c r="W38" s="195"/>
      <c r="X38" s="195"/>
      <c r="Y38" s="195"/>
      <c r="Z38" s="195"/>
      <c r="AA38" s="195"/>
    </row>
    <row r="39" ht="20.25" customHeight="1">
      <c r="A39" s="192"/>
      <c r="B39" s="118"/>
      <c r="C39" s="119"/>
      <c r="D39" s="120"/>
      <c r="E39" s="119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93"/>
      <c r="S39" s="194"/>
      <c r="T39" s="195"/>
      <c r="U39" s="195"/>
      <c r="V39" s="195"/>
      <c r="W39" s="195"/>
      <c r="X39" s="195"/>
      <c r="Y39" s="195"/>
      <c r="Z39" s="195"/>
      <c r="AA39" s="195"/>
    </row>
    <row r="40" ht="20.25" customHeight="1">
      <c r="A40" s="192"/>
      <c r="B40" s="118"/>
      <c r="C40" s="119"/>
      <c r="D40" s="120"/>
      <c r="E40" s="119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93"/>
      <c r="S40" s="194"/>
      <c r="T40" s="195"/>
      <c r="U40" s="195"/>
      <c r="V40" s="195"/>
      <c r="W40" s="195"/>
      <c r="X40" s="195"/>
      <c r="Y40" s="195"/>
      <c r="Z40" s="195"/>
      <c r="AA40" s="195"/>
    </row>
    <row r="41" ht="20.25" customHeight="1">
      <c r="A41" s="192"/>
      <c r="B41" s="118"/>
      <c r="C41" s="119"/>
      <c r="D41" s="120"/>
      <c r="E41" s="119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93"/>
      <c r="S41" s="194"/>
      <c r="T41" s="195"/>
      <c r="U41" s="195"/>
      <c r="V41" s="195"/>
      <c r="W41" s="195"/>
      <c r="X41" s="195"/>
      <c r="Y41" s="195"/>
      <c r="Z41" s="195"/>
      <c r="AA41" s="195"/>
    </row>
    <row r="42" ht="20.25" customHeight="1">
      <c r="A42" s="192"/>
      <c r="B42" s="118"/>
      <c r="C42" s="119"/>
      <c r="D42" s="120"/>
      <c r="E42" s="119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93"/>
      <c r="S42" s="194"/>
      <c r="T42" s="195"/>
      <c r="U42" s="195"/>
      <c r="V42" s="195"/>
      <c r="W42" s="195"/>
      <c r="X42" s="195"/>
      <c r="Y42" s="195"/>
      <c r="Z42" s="195"/>
      <c r="AA42" s="195"/>
    </row>
    <row r="43" ht="20.25" customHeight="1">
      <c r="A43" s="192"/>
      <c r="B43" s="118"/>
      <c r="C43" s="119"/>
      <c r="D43" s="120"/>
      <c r="E43" s="119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93"/>
      <c r="S43" s="194"/>
      <c r="T43" s="195"/>
      <c r="U43" s="195"/>
      <c r="V43" s="195"/>
      <c r="W43" s="195"/>
      <c r="X43" s="195"/>
      <c r="Y43" s="195"/>
      <c r="Z43" s="195"/>
      <c r="AA43" s="195"/>
    </row>
    <row r="44" ht="20.25" customHeight="1">
      <c r="A44" s="192"/>
      <c r="B44" s="118"/>
      <c r="C44" s="119"/>
      <c r="D44" s="120"/>
      <c r="E44" s="119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93"/>
      <c r="S44" s="194"/>
      <c r="T44" s="195"/>
      <c r="U44" s="195"/>
      <c r="V44" s="195"/>
      <c r="W44" s="195"/>
      <c r="X44" s="195"/>
      <c r="Y44" s="195"/>
      <c r="Z44" s="195"/>
      <c r="AA44" s="195"/>
    </row>
    <row r="45" ht="20.25" customHeight="1">
      <c r="A45" s="192"/>
      <c r="B45" s="118"/>
      <c r="C45" s="119"/>
      <c r="D45" s="120"/>
      <c r="E45" s="119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93"/>
      <c r="S45" s="194"/>
      <c r="T45" s="195"/>
      <c r="U45" s="195"/>
      <c r="V45" s="195"/>
      <c r="W45" s="195"/>
      <c r="X45" s="195"/>
      <c r="Y45" s="195"/>
      <c r="Z45" s="195"/>
      <c r="AA45" s="195"/>
    </row>
    <row r="46" ht="20.25" customHeight="1">
      <c r="A46" s="192"/>
      <c r="B46" s="118"/>
      <c r="C46" s="119"/>
      <c r="D46" s="120"/>
      <c r="E46" s="119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93"/>
      <c r="S46" s="194"/>
      <c r="T46" s="195"/>
      <c r="U46" s="195"/>
      <c r="V46" s="195"/>
      <c r="W46" s="195"/>
      <c r="X46" s="195"/>
      <c r="Y46" s="195"/>
      <c r="Z46" s="195"/>
      <c r="AA46" s="195"/>
    </row>
    <row r="47" ht="20.25" customHeight="1">
      <c r="A47" s="192"/>
      <c r="B47" s="118"/>
      <c r="C47" s="119"/>
      <c r="D47" s="120"/>
      <c r="E47" s="119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93"/>
      <c r="S47" s="194"/>
      <c r="T47" s="195"/>
      <c r="U47" s="195"/>
      <c r="V47" s="195"/>
      <c r="W47" s="195"/>
      <c r="X47" s="195"/>
      <c r="Y47" s="195"/>
      <c r="Z47" s="195"/>
      <c r="AA47" s="195"/>
    </row>
    <row r="48" ht="20.25" customHeight="1">
      <c r="A48" s="192"/>
      <c r="B48" s="118"/>
      <c r="C48" s="119"/>
      <c r="D48" s="120"/>
      <c r="E48" s="119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93"/>
      <c r="S48" s="194"/>
      <c r="T48" s="195"/>
      <c r="U48" s="195"/>
      <c r="V48" s="195"/>
      <c r="W48" s="195"/>
      <c r="X48" s="195"/>
      <c r="Y48" s="195"/>
      <c r="Z48" s="195"/>
      <c r="AA48" s="195"/>
    </row>
    <row r="49" ht="20.25" customHeight="1">
      <c r="A49" s="192"/>
      <c r="B49" s="118"/>
      <c r="C49" s="119"/>
      <c r="D49" s="120"/>
      <c r="E49" s="119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93"/>
      <c r="S49" s="194"/>
      <c r="T49" s="195"/>
      <c r="U49" s="195"/>
      <c r="V49" s="195"/>
      <c r="W49" s="195"/>
      <c r="X49" s="195"/>
      <c r="Y49" s="195"/>
      <c r="Z49" s="195"/>
      <c r="AA49" s="195"/>
    </row>
    <row r="50" ht="20.25" customHeight="1">
      <c r="A50" s="192"/>
      <c r="B50" s="118"/>
      <c r="C50" s="119"/>
      <c r="D50" s="120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93"/>
      <c r="S50" s="194"/>
      <c r="T50" s="195"/>
      <c r="U50" s="195"/>
      <c r="V50" s="195"/>
      <c r="W50" s="195"/>
      <c r="X50" s="195"/>
      <c r="Y50" s="195"/>
      <c r="Z50" s="195"/>
      <c r="AA50" s="195"/>
    </row>
    <row r="51" ht="20.25" customHeight="1">
      <c r="A51" s="192"/>
      <c r="B51" s="118"/>
      <c r="C51" s="119"/>
      <c r="D51" s="120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93"/>
      <c r="S51" s="194"/>
      <c r="T51" s="195"/>
      <c r="U51" s="195"/>
      <c r="V51" s="195"/>
      <c r="W51" s="195"/>
      <c r="X51" s="195"/>
      <c r="Y51" s="195"/>
      <c r="Z51" s="195"/>
      <c r="AA51" s="195"/>
    </row>
    <row r="52" ht="20.25" customHeight="1">
      <c r="A52" s="192"/>
      <c r="B52" s="118"/>
      <c r="C52" s="119"/>
      <c r="D52" s="120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93"/>
      <c r="S52" s="194"/>
      <c r="T52" s="195"/>
      <c r="U52" s="195"/>
      <c r="V52" s="195"/>
      <c r="W52" s="195"/>
      <c r="X52" s="195"/>
      <c r="Y52" s="195"/>
      <c r="Z52" s="195"/>
      <c r="AA52" s="195"/>
    </row>
    <row r="53" ht="20.25" customHeight="1">
      <c r="A53" s="192"/>
      <c r="B53" s="118"/>
      <c r="C53" s="119"/>
      <c r="D53" s="120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93"/>
      <c r="S53" s="194"/>
      <c r="T53" s="195"/>
      <c r="U53" s="195"/>
      <c r="V53" s="195"/>
      <c r="W53" s="195"/>
      <c r="X53" s="195"/>
      <c r="Y53" s="195"/>
      <c r="Z53" s="195"/>
      <c r="AA53" s="195"/>
    </row>
    <row r="54" ht="20.25" customHeight="1">
      <c r="A54" s="19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93"/>
      <c r="S54" s="194"/>
      <c r="T54" s="195"/>
      <c r="U54" s="195"/>
      <c r="V54" s="195"/>
      <c r="W54" s="195"/>
      <c r="X54" s="195"/>
      <c r="Y54" s="195"/>
      <c r="Z54" s="195"/>
      <c r="AA54" s="195"/>
    </row>
    <row r="55" ht="20.25" customHeight="1">
      <c r="A55" s="19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93"/>
      <c r="S55" s="194"/>
      <c r="T55" s="195"/>
      <c r="U55" s="195"/>
      <c r="V55" s="195"/>
      <c r="W55" s="195"/>
      <c r="X55" s="195"/>
      <c r="Y55" s="195"/>
      <c r="Z55" s="195"/>
      <c r="AA55" s="195"/>
    </row>
    <row r="56" ht="20.25" customHeight="1">
      <c r="A56" s="19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93"/>
      <c r="S56" s="194"/>
      <c r="T56" s="195"/>
      <c r="U56" s="195"/>
      <c r="V56" s="195"/>
      <c r="W56" s="195"/>
      <c r="X56" s="195"/>
      <c r="Y56" s="195"/>
      <c r="Z56" s="195"/>
      <c r="AA56" s="195"/>
    </row>
    <row r="57" ht="20.25" customHeight="1">
      <c r="A57" s="19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93"/>
      <c r="S57" s="194"/>
      <c r="T57" s="195"/>
      <c r="U57" s="195"/>
      <c r="V57" s="195"/>
      <c r="W57" s="195"/>
      <c r="X57" s="195"/>
      <c r="Y57" s="195"/>
      <c r="Z57" s="195"/>
      <c r="AA57" s="195"/>
    </row>
    <row r="58" ht="20.25" customHeight="1">
      <c r="A58" s="19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93"/>
      <c r="S58" s="194"/>
      <c r="T58" s="195"/>
      <c r="U58" s="195"/>
      <c r="V58" s="195"/>
      <c r="W58" s="195"/>
      <c r="X58" s="195"/>
      <c r="Y58" s="195"/>
      <c r="Z58" s="195"/>
      <c r="AA58" s="195"/>
    </row>
    <row r="59" ht="20.25" customHeight="1">
      <c r="A59" s="19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93"/>
      <c r="S59" s="194"/>
      <c r="T59" s="195"/>
      <c r="U59" s="195"/>
      <c r="V59" s="195"/>
      <c r="W59" s="195"/>
      <c r="X59" s="195"/>
      <c r="Y59" s="195"/>
      <c r="Z59" s="195"/>
      <c r="AA59" s="195"/>
    </row>
    <row r="60" ht="20.25" customHeight="1">
      <c r="A60" s="19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93"/>
      <c r="S60" s="194"/>
      <c r="T60" s="195"/>
      <c r="U60" s="195"/>
      <c r="V60" s="195"/>
      <c r="W60" s="195"/>
      <c r="X60" s="195"/>
      <c r="Y60" s="195"/>
      <c r="Z60" s="195"/>
      <c r="AA60" s="195"/>
    </row>
    <row r="61" ht="20.25" customHeight="1">
      <c r="A61" s="19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93"/>
      <c r="S61" s="194"/>
      <c r="T61" s="195"/>
      <c r="U61" s="195"/>
      <c r="V61" s="195"/>
      <c r="W61" s="195"/>
      <c r="X61" s="195"/>
      <c r="Y61" s="195"/>
      <c r="Z61" s="195"/>
      <c r="AA61" s="195"/>
    </row>
    <row r="62" ht="20.25" customHeight="1">
      <c r="A62" s="19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93"/>
      <c r="S62" s="194"/>
      <c r="T62" s="195"/>
      <c r="U62" s="195"/>
      <c r="V62" s="195"/>
      <c r="W62" s="195"/>
      <c r="X62" s="195"/>
      <c r="Y62" s="195"/>
      <c r="Z62" s="195"/>
      <c r="AA62" s="195"/>
    </row>
    <row r="63" ht="20.25" customHeight="1">
      <c r="A63" s="19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93"/>
      <c r="S63" s="194"/>
      <c r="T63" s="195"/>
      <c r="U63" s="195"/>
      <c r="V63" s="195"/>
      <c r="W63" s="195"/>
      <c r="X63" s="195"/>
      <c r="Y63" s="195"/>
      <c r="Z63" s="195"/>
      <c r="AA63" s="195"/>
    </row>
    <row r="64" ht="20.25" customHeight="1">
      <c r="A64" s="19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93"/>
      <c r="S64" s="194"/>
      <c r="T64" s="195"/>
      <c r="U64" s="195"/>
      <c r="V64" s="195"/>
      <c r="W64" s="195"/>
      <c r="X64" s="195"/>
      <c r="Y64" s="195"/>
      <c r="Z64" s="195"/>
      <c r="AA64" s="195"/>
    </row>
    <row r="65" ht="20.25" customHeight="1">
      <c r="A65" s="19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93"/>
      <c r="S65" s="194"/>
      <c r="T65" s="195"/>
      <c r="U65" s="195"/>
      <c r="V65" s="195"/>
      <c r="W65" s="195"/>
      <c r="X65" s="195"/>
      <c r="Y65" s="195"/>
      <c r="Z65" s="195"/>
      <c r="AA65" s="195"/>
    </row>
    <row r="66" ht="20.25" customHeight="1">
      <c r="A66" s="19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93"/>
      <c r="S66" s="194"/>
      <c r="T66" s="195"/>
      <c r="U66" s="195"/>
      <c r="V66" s="195"/>
      <c r="W66" s="195"/>
      <c r="X66" s="195"/>
      <c r="Y66" s="195"/>
      <c r="Z66" s="195"/>
      <c r="AA66" s="195"/>
    </row>
    <row r="67" ht="20.25" customHeight="1">
      <c r="A67" s="19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93"/>
      <c r="S67" s="194"/>
      <c r="T67" s="195"/>
      <c r="U67" s="195"/>
      <c r="V67" s="195"/>
      <c r="W67" s="195"/>
      <c r="X67" s="195"/>
      <c r="Y67" s="195"/>
      <c r="Z67" s="195"/>
      <c r="AA67" s="195"/>
    </row>
    <row r="68" ht="20.25" customHeight="1">
      <c r="A68" s="19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93"/>
      <c r="S68" s="194"/>
      <c r="T68" s="195"/>
      <c r="U68" s="195"/>
      <c r="V68" s="195"/>
      <c r="W68" s="195"/>
      <c r="X68" s="195"/>
      <c r="Y68" s="195"/>
      <c r="Z68" s="195"/>
      <c r="AA68" s="195"/>
    </row>
    <row r="69" ht="20.25" customHeight="1">
      <c r="A69" s="19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93"/>
      <c r="S69" s="194"/>
      <c r="T69" s="195"/>
      <c r="U69" s="195"/>
      <c r="V69" s="195"/>
      <c r="W69" s="195"/>
      <c r="X69" s="195"/>
      <c r="Y69" s="195"/>
      <c r="Z69" s="195"/>
      <c r="AA69" s="195"/>
    </row>
    <row r="70" ht="20.25" customHeight="1">
      <c r="A70" s="19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93"/>
      <c r="S70" s="194"/>
      <c r="T70" s="195"/>
      <c r="U70" s="195"/>
      <c r="V70" s="195"/>
      <c r="W70" s="195"/>
      <c r="X70" s="195"/>
      <c r="Y70" s="195"/>
      <c r="Z70" s="195"/>
      <c r="AA70" s="195"/>
    </row>
    <row r="71" ht="20.25" customHeight="1">
      <c r="A71" s="19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93"/>
      <c r="S71" s="194"/>
      <c r="T71" s="195"/>
      <c r="U71" s="195"/>
      <c r="V71" s="195"/>
      <c r="W71" s="195"/>
      <c r="X71" s="195"/>
      <c r="Y71" s="195"/>
      <c r="Z71" s="195"/>
      <c r="AA71" s="195"/>
    </row>
    <row r="72" ht="20.25" customHeight="1">
      <c r="A72" s="19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93"/>
      <c r="S72" s="194"/>
      <c r="T72" s="195"/>
      <c r="U72" s="195"/>
      <c r="V72" s="195"/>
      <c r="W72" s="195"/>
      <c r="X72" s="195"/>
      <c r="Y72" s="195"/>
      <c r="Z72" s="195"/>
      <c r="AA72" s="195"/>
    </row>
    <row r="73" ht="20.25" customHeight="1">
      <c r="A73" s="19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93"/>
      <c r="S73" s="194"/>
      <c r="T73" s="195"/>
      <c r="U73" s="195"/>
      <c r="V73" s="195"/>
      <c r="W73" s="195"/>
      <c r="X73" s="195"/>
      <c r="Y73" s="195"/>
      <c r="Z73" s="195"/>
      <c r="AA73" s="195"/>
    </row>
    <row r="74" ht="20.25" customHeight="1">
      <c r="A74" s="19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93"/>
      <c r="S74" s="194"/>
      <c r="T74" s="195"/>
      <c r="U74" s="195"/>
      <c r="V74" s="195"/>
      <c r="W74" s="195"/>
      <c r="X74" s="195"/>
      <c r="Y74" s="195"/>
      <c r="Z74" s="195"/>
      <c r="AA74" s="195"/>
    </row>
    <row r="75" ht="20.25" customHeight="1">
      <c r="A75" s="19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93"/>
      <c r="S75" s="194"/>
      <c r="T75" s="195"/>
      <c r="U75" s="195"/>
      <c r="V75" s="195"/>
      <c r="W75" s="195"/>
      <c r="X75" s="195"/>
      <c r="Y75" s="195"/>
      <c r="Z75" s="195"/>
      <c r="AA75" s="195"/>
    </row>
    <row r="76" ht="20.25" customHeight="1">
      <c r="A76" s="19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93"/>
      <c r="S76" s="194"/>
      <c r="T76" s="195"/>
      <c r="U76" s="195"/>
      <c r="V76" s="195"/>
      <c r="W76" s="195"/>
      <c r="X76" s="195"/>
      <c r="Y76" s="195"/>
      <c r="Z76" s="195"/>
      <c r="AA76" s="195"/>
    </row>
    <row r="77" ht="20.25" customHeight="1">
      <c r="A77" s="19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93"/>
      <c r="S77" s="194"/>
      <c r="T77" s="195"/>
      <c r="U77" s="195"/>
      <c r="V77" s="195"/>
      <c r="W77" s="195"/>
      <c r="X77" s="195"/>
      <c r="Y77" s="195"/>
      <c r="Z77" s="195"/>
      <c r="AA77" s="195"/>
    </row>
    <row r="78" ht="20.25" customHeight="1">
      <c r="A78" s="19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93"/>
      <c r="S78" s="194"/>
      <c r="T78" s="195"/>
      <c r="U78" s="195"/>
      <c r="V78" s="195"/>
      <c r="W78" s="195"/>
      <c r="X78" s="195"/>
      <c r="Y78" s="195"/>
      <c r="Z78" s="195"/>
      <c r="AA78" s="195"/>
    </row>
    <row r="79" ht="20.25" customHeight="1">
      <c r="A79" s="19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93"/>
      <c r="S79" s="194"/>
      <c r="T79" s="195"/>
      <c r="U79" s="195"/>
      <c r="V79" s="195"/>
      <c r="W79" s="195"/>
      <c r="X79" s="195"/>
      <c r="Y79" s="195"/>
      <c r="Z79" s="195"/>
      <c r="AA79" s="195"/>
    </row>
    <row r="80" ht="20.25" customHeight="1">
      <c r="A80" s="19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93"/>
      <c r="S80" s="194"/>
      <c r="T80" s="195"/>
      <c r="U80" s="195"/>
      <c r="V80" s="195"/>
      <c r="W80" s="195"/>
      <c r="X80" s="195"/>
      <c r="Y80" s="195"/>
      <c r="Z80" s="195"/>
      <c r="AA80" s="19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0 G11:G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C11:C80">
      <formula1>'Elenco Dip Sedi'!$D$5:$D$32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G11:G80">
      <formula1>'Elenco Dip Sedi'!$C$5:$C$32</formula1>
    </dataValidation>
    <dataValidation type="list" allowBlank="1" showErrorMessage="1" sqref="P11:P80">
      <formula1>'Elenco Dip Sedi'!$K$5:$K$32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E11:E80">
      <formula1>'Elenco Dip Sedi'!$N$5:$N$32</formula1>
    </dataValidation>
    <dataValidation type="list" allowBlank="1" showErrorMessage="1" sqref="F11:F80">
      <formula1>"M,F"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5.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57"/>
      <c r="D1" s="156" t="s">
        <v>66</v>
      </c>
      <c r="E1" s="157" t="s">
        <v>67</v>
      </c>
      <c r="F1" s="53"/>
      <c r="G1" s="158" t="s">
        <v>103</v>
      </c>
      <c r="H1" s="159"/>
      <c r="I1" s="55"/>
      <c r="J1" s="56"/>
      <c r="L1" s="56"/>
      <c r="M1" s="57"/>
      <c r="N1" s="58"/>
      <c r="O1" s="59"/>
      <c r="P1" s="60"/>
      <c r="Q1" s="61"/>
    </row>
    <row r="2" ht="20.25" customHeight="1">
      <c r="D2" s="160"/>
      <c r="E2" s="160"/>
      <c r="F2" s="53"/>
      <c r="G2" s="161"/>
      <c r="H2" s="162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63"/>
      <c r="E3" s="164"/>
      <c r="F3" s="53"/>
      <c r="G3" s="57"/>
      <c r="H3" s="57"/>
      <c r="I3" s="70"/>
      <c r="J3" s="165"/>
      <c r="K3" s="165"/>
      <c r="L3" s="165"/>
      <c r="M3" s="166"/>
      <c r="N3" s="167"/>
      <c r="O3" s="72"/>
      <c r="P3" s="69"/>
      <c r="Q3" s="61"/>
    </row>
    <row r="4" ht="21.0" customHeight="1">
      <c r="D4" s="168"/>
      <c r="E4" s="169"/>
      <c r="F4" s="84"/>
      <c r="G4" s="84"/>
      <c r="H4" s="84"/>
      <c r="I4" s="170"/>
      <c r="J4" s="171"/>
      <c r="K4" s="171"/>
      <c r="L4" s="171"/>
      <c r="M4" s="78"/>
      <c r="N4" s="89"/>
      <c r="O4" s="172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73"/>
      <c r="E5" s="174"/>
      <c r="F5" s="175"/>
      <c r="G5" s="176"/>
      <c r="H5" s="177"/>
      <c r="I5" s="178"/>
      <c r="J5" s="179" t="s">
        <v>104</v>
      </c>
      <c r="L5" s="180"/>
      <c r="M5" s="181"/>
      <c r="N5" s="182"/>
      <c r="O5" s="183"/>
      <c r="P5" s="184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99"/>
      <c r="E6" s="77"/>
      <c r="F6" s="76"/>
      <c r="G6" s="77"/>
      <c r="H6" s="78"/>
      <c r="I6" s="80" t="s">
        <v>105</v>
      </c>
      <c r="L6" s="186">
        <f>SUMIF(A11:A140,"INZIA IL TRATTAMENTO-VENDITA", I11:I140)</f>
        <v>0</v>
      </c>
      <c r="M6" s="187"/>
      <c r="O6" s="82"/>
      <c r="P6" s="18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89" t="s">
        <v>106</v>
      </c>
      <c r="K7" s="78"/>
      <c r="L7" s="190">
        <f>L6+SUMIFS('OPPORTUNITA DI VENDITA'!J198:J513,'OPPORTUNITA DI VENDITA'!C198:C513, "&gt;=01/09/2026", 'OPPORTUNITA DI VENDITA'!C198:C513, "&lt;=30/09/2026",'OPPORTUNITA DI VENDITA'!B198:B513,"ESEGUITO")</f>
        <v>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236" t="s">
        <v>107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91"/>
      <c r="C10" s="191"/>
      <c r="D10" s="191"/>
      <c r="E10" s="191"/>
      <c r="F10" s="114"/>
      <c r="G10" s="191"/>
      <c r="H10" s="191"/>
      <c r="I10" s="191"/>
      <c r="J10" s="237"/>
      <c r="K10" s="237"/>
      <c r="L10" s="237"/>
      <c r="M10" s="237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0.25" customHeight="1">
      <c r="A11" s="192"/>
      <c r="B11" s="118"/>
      <c r="C11" s="119"/>
      <c r="D11" s="120"/>
      <c r="E11" s="119"/>
      <c r="F11" s="119"/>
      <c r="G11" s="119"/>
      <c r="H11" s="119"/>
      <c r="I11" s="117"/>
      <c r="J11" s="118"/>
      <c r="K11" s="46"/>
      <c r="L11" s="46"/>
      <c r="M11" s="46"/>
      <c r="N11" s="117"/>
      <c r="O11" s="119"/>
      <c r="P11" s="119"/>
      <c r="Q11" s="120"/>
      <c r="R11" s="193"/>
      <c r="S11" s="194"/>
      <c r="T11" s="195"/>
      <c r="U11" s="195"/>
      <c r="V11" s="195"/>
      <c r="W11" s="195"/>
      <c r="X11" s="195"/>
      <c r="Y11" s="195"/>
      <c r="Z11" s="195"/>
      <c r="AA11" s="195"/>
    </row>
    <row r="12" ht="20.25" customHeight="1">
      <c r="A12" s="192"/>
      <c r="B12" s="118"/>
      <c r="C12" s="119"/>
      <c r="D12" s="120"/>
      <c r="E12" s="119"/>
      <c r="F12" s="119"/>
      <c r="G12" s="119"/>
      <c r="H12" s="119"/>
      <c r="I12" s="117"/>
      <c r="J12" s="118"/>
      <c r="K12" s="46"/>
      <c r="L12" s="46"/>
      <c r="M12" s="46"/>
      <c r="N12" s="117"/>
      <c r="O12" s="119"/>
      <c r="P12" s="119"/>
      <c r="Q12" s="120"/>
      <c r="R12" s="193"/>
      <c r="S12" s="194"/>
      <c r="T12" s="195"/>
      <c r="U12" s="195"/>
      <c r="V12" s="195"/>
      <c r="W12" s="195"/>
      <c r="X12" s="195"/>
      <c r="Y12" s="195"/>
      <c r="Z12" s="195"/>
      <c r="AA12" s="195"/>
    </row>
    <row r="13" ht="20.25" customHeight="1">
      <c r="A13" s="192"/>
      <c r="B13" s="118"/>
      <c r="C13" s="119"/>
      <c r="D13" s="120"/>
      <c r="E13" s="119"/>
      <c r="F13" s="119"/>
      <c r="G13" s="119"/>
      <c r="H13" s="119"/>
      <c r="I13" s="117"/>
      <c r="J13" s="118"/>
      <c r="K13" s="46"/>
      <c r="L13" s="46"/>
      <c r="M13" s="46"/>
      <c r="N13" s="117"/>
      <c r="O13" s="119"/>
      <c r="P13" s="119"/>
      <c r="Q13" s="120"/>
      <c r="R13" s="193"/>
      <c r="S13" s="194"/>
      <c r="T13" s="195"/>
      <c r="U13" s="195"/>
      <c r="V13" s="195"/>
      <c r="W13" s="195"/>
      <c r="X13" s="195"/>
      <c r="Y13" s="195"/>
      <c r="Z13" s="195"/>
      <c r="AA13" s="195"/>
    </row>
    <row r="14" ht="20.25" customHeight="1">
      <c r="A14" s="192"/>
      <c r="B14" s="118"/>
      <c r="C14" s="119"/>
      <c r="D14" s="120"/>
      <c r="E14" s="119"/>
      <c r="F14" s="119"/>
      <c r="G14" s="119"/>
      <c r="H14" s="119"/>
      <c r="I14" s="117"/>
      <c r="J14" s="118"/>
      <c r="K14" s="46"/>
      <c r="L14" s="46"/>
      <c r="M14" s="46"/>
      <c r="N14" s="117"/>
      <c r="O14" s="119"/>
      <c r="P14" s="119"/>
      <c r="Q14" s="120"/>
      <c r="R14" s="193"/>
      <c r="S14" s="194"/>
      <c r="T14" s="195"/>
      <c r="U14" s="195"/>
      <c r="V14" s="195"/>
      <c r="W14" s="195"/>
      <c r="X14" s="195"/>
      <c r="Y14" s="195"/>
      <c r="Z14" s="195"/>
      <c r="AA14" s="195"/>
    </row>
    <row r="15" ht="20.25" customHeight="1">
      <c r="A15" s="192"/>
      <c r="B15" s="118"/>
      <c r="C15" s="119"/>
      <c r="D15" s="120"/>
      <c r="E15" s="119"/>
      <c r="F15" s="119"/>
      <c r="G15" s="119"/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93"/>
      <c r="S15" s="194"/>
      <c r="T15" s="195"/>
      <c r="U15" s="195"/>
      <c r="V15" s="195"/>
      <c r="W15" s="195"/>
      <c r="X15" s="195"/>
      <c r="Y15" s="195"/>
      <c r="Z15" s="195"/>
      <c r="AA15" s="195"/>
    </row>
    <row r="16" ht="20.25" customHeight="1">
      <c r="A16" s="192"/>
      <c r="B16" s="118"/>
      <c r="C16" s="119"/>
      <c r="D16" s="120"/>
      <c r="E16" s="119"/>
      <c r="F16" s="119"/>
      <c r="G16" s="119"/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93"/>
      <c r="S16" s="194"/>
      <c r="T16" s="195"/>
      <c r="U16" s="195"/>
      <c r="V16" s="195"/>
      <c r="W16" s="195"/>
      <c r="X16" s="195"/>
      <c r="Y16" s="195"/>
      <c r="Z16" s="195"/>
      <c r="AA16" s="195"/>
    </row>
    <row r="17" ht="20.25" customHeight="1">
      <c r="A17" s="192"/>
      <c r="B17" s="118"/>
      <c r="C17" s="119"/>
      <c r="D17" s="120"/>
      <c r="E17" s="119"/>
      <c r="F17" s="119"/>
      <c r="G17" s="119"/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93"/>
      <c r="S17" s="194"/>
      <c r="T17" s="195"/>
      <c r="U17" s="195"/>
      <c r="V17" s="195"/>
      <c r="W17" s="195"/>
      <c r="X17" s="195"/>
      <c r="Y17" s="195"/>
      <c r="Z17" s="195"/>
      <c r="AA17" s="195"/>
    </row>
    <row r="18" ht="20.25" customHeight="1">
      <c r="A18" s="192"/>
      <c r="B18" s="118"/>
      <c r="C18" s="119"/>
      <c r="D18" s="120"/>
      <c r="E18" s="119"/>
      <c r="F18" s="119"/>
      <c r="G18" s="119"/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93"/>
      <c r="S18" s="194"/>
      <c r="T18" s="195"/>
      <c r="U18" s="195"/>
      <c r="V18" s="195"/>
      <c r="W18" s="195"/>
      <c r="X18" s="195"/>
      <c r="Y18" s="195"/>
      <c r="Z18" s="195"/>
      <c r="AA18" s="195"/>
    </row>
    <row r="19" ht="20.25" customHeight="1">
      <c r="A19" s="192"/>
      <c r="B19" s="118"/>
      <c r="C19" s="119"/>
      <c r="D19" s="120"/>
      <c r="E19" s="119"/>
      <c r="F19" s="119"/>
      <c r="G19" s="119"/>
      <c r="H19" s="119"/>
      <c r="I19" s="117"/>
      <c r="J19" s="118"/>
      <c r="K19" s="46"/>
      <c r="L19" s="46"/>
      <c r="M19" s="46"/>
      <c r="N19" s="117"/>
      <c r="O19" s="119"/>
      <c r="P19" s="119"/>
      <c r="Q19" s="120"/>
      <c r="R19" s="193"/>
      <c r="S19" s="194"/>
      <c r="T19" s="195"/>
      <c r="U19" s="195"/>
      <c r="V19" s="195"/>
      <c r="W19" s="195"/>
      <c r="X19" s="195"/>
      <c r="Y19" s="195"/>
      <c r="Z19" s="195"/>
      <c r="AA19" s="195"/>
    </row>
    <row r="20" ht="20.25" customHeight="1">
      <c r="A20" s="192"/>
      <c r="B20" s="118"/>
      <c r="C20" s="119"/>
      <c r="D20" s="120"/>
      <c r="E20" s="119"/>
      <c r="F20" s="119"/>
      <c r="G20" s="119"/>
      <c r="H20" s="119"/>
      <c r="I20" s="117"/>
      <c r="J20" s="118"/>
      <c r="K20" s="46"/>
      <c r="L20" s="46"/>
      <c r="M20" s="46"/>
      <c r="N20" s="117"/>
      <c r="O20" s="119"/>
      <c r="P20" s="119"/>
      <c r="Q20" s="120"/>
      <c r="R20" s="193"/>
      <c r="S20" s="194"/>
      <c r="T20" s="195"/>
      <c r="U20" s="195"/>
      <c r="V20" s="195"/>
      <c r="W20" s="195"/>
      <c r="X20" s="195"/>
      <c r="Y20" s="195"/>
      <c r="Z20" s="195"/>
      <c r="AA20" s="195"/>
    </row>
    <row r="21" ht="20.25" customHeight="1">
      <c r="A21" s="192"/>
      <c r="B21" s="118"/>
      <c r="C21" s="119"/>
      <c r="D21" s="120"/>
      <c r="E21" s="119"/>
      <c r="F21" s="119"/>
      <c r="G21" s="119"/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193"/>
      <c r="S21" s="194"/>
      <c r="T21" s="195"/>
      <c r="U21" s="195"/>
      <c r="V21" s="195"/>
      <c r="W21" s="195"/>
      <c r="X21" s="195"/>
      <c r="Y21" s="195"/>
      <c r="Z21" s="195"/>
      <c r="AA21" s="195"/>
    </row>
    <row r="22" ht="20.25" customHeight="1">
      <c r="A22" s="192"/>
      <c r="B22" s="118"/>
      <c r="C22" s="119"/>
      <c r="D22" s="120"/>
      <c r="E22" s="119"/>
      <c r="F22" s="119"/>
      <c r="G22" s="119"/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93"/>
      <c r="S22" s="194"/>
      <c r="T22" s="195"/>
      <c r="U22" s="195"/>
      <c r="V22" s="195"/>
      <c r="W22" s="195"/>
      <c r="X22" s="195"/>
      <c r="Y22" s="195"/>
      <c r="Z22" s="195"/>
      <c r="AA22" s="195"/>
    </row>
    <row r="23" ht="20.25" customHeight="1">
      <c r="A23" s="192"/>
      <c r="B23" s="118"/>
      <c r="C23" s="119"/>
      <c r="D23" s="120"/>
      <c r="E23" s="119"/>
      <c r="F23" s="119"/>
      <c r="G23" s="119"/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93"/>
      <c r="S23" s="194"/>
      <c r="T23" s="195"/>
      <c r="U23" s="195"/>
      <c r="V23" s="195"/>
      <c r="W23" s="195"/>
      <c r="X23" s="195"/>
      <c r="Y23" s="195"/>
      <c r="Z23" s="195"/>
      <c r="AA23" s="195"/>
    </row>
    <row r="24" ht="20.25" customHeight="1">
      <c r="A24" s="192"/>
      <c r="B24" s="118"/>
      <c r="C24" s="119"/>
      <c r="D24" s="120"/>
      <c r="E24" s="119"/>
      <c r="F24" s="119"/>
      <c r="G24" s="119"/>
      <c r="H24" s="119"/>
      <c r="I24" s="117"/>
      <c r="J24" s="118"/>
      <c r="K24" s="46"/>
      <c r="L24" s="46"/>
      <c r="M24" s="46"/>
      <c r="N24" s="117"/>
      <c r="O24" s="119"/>
      <c r="P24" s="119"/>
      <c r="Q24" s="120"/>
      <c r="R24" s="193"/>
      <c r="S24" s="194"/>
      <c r="T24" s="195"/>
      <c r="U24" s="195"/>
      <c r="V24" s="195"/>
      <c r="W24" s="195"/>
      <c r="X24" s="195"/>
      <c r="Y24" s="195"/>
      <c r="Z24" s="195"/>
      <c r="AA24" s="195"/>
    </row>
    <row r="25" ht="20.25" customHeight="1">
      <c r="A25" s="192"/>
      <c r="B25" s="118"/>
      <c r="C25" s="119"/>
      <c r="D25" s="120"/>
      <c r="E25" s="119"/>
      <c r="F25" s="119"/>
      <c r="G25" s="119"/>
      <c r="H25" s="119"/>
      <c r="I25" s="117"/>
      <c r="J25" s="118"/>
      <c r="K25" s="46"/>
      <c r="L25" s="46"/>
      <c r="M25" s="46"/>
      <c r="N25" s="117"/>
      <c r="O25" s="119"/>
      <c r="P25" s="119"/>
      <c r="Q25" s="120"/>
      <c r="R25" s="193"/>
      <c r="S25" s="194"/>
      <c r="T25" s="195"/>
      <c r="U25" s="195"/>
      <c r="V25" s="195"/>
      <c r="W25" s="195"/>
      <c r="X25" s="195"/>
      <c r="Y25" s="195"/>
      <c r="Z25" s="195"/>
      <c r="AA25" s="195"/>
    </row>
    <row r="26" ht="20.25" customHeight="1">
      <c r="A26" s="192"/>
      <c r="B26" s="118"/>
      <c r="C26" s="119"/>
      <c r="D26" s="120"/>
      <c r="E26" s="119"/>
      <c r="F26" s="119"/>
      <c r="G26" s="119"/>
      <c r="H26" s="119"/>
      <c r="I26" s="117"/>
      <c r="J26" s="118"/>
      <c r="K26" s="46"/>
      <c r="L26" s="46"/>
      <c r="M26" s="46"/>
      <c r="N26" s="117"/>
      <c r="O26" s="119"/>
      <c r="P26" s="119"/>
      <c r="Q26" s="120"/>
      <c r="R26" s="193"/>
      <c r="S26" s="194"/>
      <c r="T26" s="195"/>
      <c r="U26" s="195"/>
      <c r="V26" s="195"/>
      <c r="W26" s="195"/>
      <c r="X26" s="195"/>
      <c r="Y26" s="195"/>
      <c r="Z26" s="195"/>
      <c r="AA26" s="195"/>
    </row>
    <row r="27" ht="20.25" customHeight="1">
      <c r="A27" s="192"/>
      <c r="B27" s="118"/>
      <c r="C27" s="119"/>
      <c r="D27" s="120"/>
      <c r="E27" s="119"/>
      <c r="F27" s="119"/>
      <c r="G27" s="119"/>
      <c r="H27" s="119"/>
      <c r="I27" s="117"/>
      <c r="J27" s="118"/>
      <c r="K27" s="46"/>
      <c r="L27" s="46"/>
      <c r="M27" s="46"/>
      <c r="N27" s="117"/>
      <c r="O27" s="119"/>
      <c r="P27" s="119"/>
      <c r="Q27" s="120"/>
      <c r="R27" s="193"/>
      <c r="S27" s="194"/>
      <c r="T27" s="195"/>
      <c r="U27" s="195"/>
      <c r="V27" s="195"/>
      <c r="W27" s="195"/>
      <c r="X27" s="195"/>
      <c r="Y27" s="195"/>
      <c r="Z27" s="195"/>
      <c r="AA27" s="195"/>
    </row>
    <row r="28" ht="20.25" customHeight="1">
      <c r="A28" s="192"/>
      <c r="B28" s="118"/>
      <c r="C28" s="119"/>
      <c r="D28" s="120"/>
      <c r="E28" s="119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93"/>
      <c r="S28" s="194"/>
      <c r="T28" s="195"/>
      <c r="U28" s="195"/>
      <c r="V28" s="195"/>
      <c r="W28" s="195"/>
      <c r="X28" s="195"/>
      <c r="Y28" s="195"/>
      <c r="Z28" s="195"/>
      <c r="AA28" s="195"/>
    </row>
    <row r="29" ht="20.25" customHeight="1">
      <c r="A29" s="192"/>
      <c r="B29" s="118"/>
      <c r="C29" s="119"/>
      <c r="D29" s="120"/>
      <c r="E29" s="119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93"/>
      <c r="S29" s="194"/>
      <c r="T29" s="195"/>
      <c r="U29" s="195"/>
      <c r="V29" s="195"/>
      <c r="W29" s="195"/>
      <c r="X29" s="195"/>
      <c r="Y29" s="195"/>
      <c r="Z29" s="195"/>
      <c r="AA29" s="195"/>
    </row>
    <row r="30" ht="20.25" customHeight="1">
      <c r="A30" s="192"/>
      <c r="B30" s="118"/>
      <c r="C30" s="119"/>
      <c r="D30" s="120"/>
      <c r="E30" s="119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93"/>
      <c r="S30" s="194"/>
      <c r="T30" s="195"/>
      <c r="U30" s="195"/>
      <c r="V30" s="195"/>
      <c r="W30" s="195"/>
      <c r="X30" s="195"/>
      <c r="Y30" s="195"/>
      <c r="Z30" s="195"/>
      <c r="AA30" s="195"/>
    </row>
    <row r="31" ht="20.25" customHeight="1">
      <c r="A31" s="192"/>
      <c r="B31" s="118"/>
      <c r="C31" s="119"/>
      <c r="D31" s="120"/>
      <c r="E31" s="119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93"/>
      <c r="S31" s="194"/>
      <c r="T31" s="195"/>
      <c r="U31" s="195"/>
      <c r="V31" s="195"/>
      <c r="W31" s="195"/>
      <c r="X31" s="195"/>
      <c r="Y31" s="195"/>
      <c r="Z31" s="195"/>
      <c r="AA31" s="195"/>
    </row>
    <row r="32" ht="20.25" customHeight="1">
      <c r="A32" s="192"/>
      <c r="B32" s="118"/>
      <c r="C32" s="119"/>
      <c r="D32" s="120"/>
      <c r="E32" s="119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93"/>
      <c r="S32" s="194"/>
      <c r="T32" s="195"/>
      <c r="U32" s="195"/>
      <c r="V32" s="195"/>
      <c r="W32" s="195"/>
      <c r="X32" s="195"/>
      <c r="Y32" s="195"/>
      <c r="Z32" s="195"/>
      <c r="AA32" s="195"/>
    </row>
    <row r="33" ht="20.25" customHeight="1">
      <c r="A33" s="192"/>
      <c r="B33" s="118"/>
      <c r="C33" s="119"/>
      <c r="D33" s="120"/>
      <c r="E33" s="119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93"/>
      <c r="S33" s="194"/>
      <c r="T33" s="195"/>
      <c r="U33" s="195"/>
      <c r="V33" s="195"/>
      <c r="W33" s="195"/>
      <c r="X33" s="195"/>
      <c r="Y33" s="195"/>
      <c r="Z33" s="195"/>
      <c r="AA33" s="195"/>
    </row>
    <row r="34" ht="20.25" customHeight="1">
      <c r="A34" s="192"/>
      <c r="B34" s="118"/>
      <c r="C34" s="119"/>
      <c r="D34" s="120"/>
      <c r="E34" s="119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93"/>
      <c r="S34" s="194"/>
      <c r="T34" s="195"/>
      <c r="U34" s="195"/>
      <c r="V34" s="195"/>
      <c r="W34" s="195"/>
      <c r="X34" s="195"/>
      <c r="Y34" s="195"/>
      <c r="Z34" s="195"/>
      <c r="AA34" s="195"/>
    </row>
    <row r="35" ht="20.25" customHeight="1">
      <c r="A35" s="192"/>
      <c r="B35" s="118"/>
      <c r="C35" s="119"/>
      <c r="D35" s="120"/>
      <c r="E35" s="119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93"/>
      <c r="S35" s="194"/>
      <c r="T35" s="195"/>
      <c r="U35" s="195"/>
      <c r="V35" s="195"/>
      <c r="W35" s="195"/>
      <c r="X35" s="195"/>
      <c r="Y35" s="195"/>
      <c r="Z35" s="195"/>
      <c r="AA35" s="195"/>
    </row>
    <row r="36" ht="20.25" customHeight="1">
      <c r="A36" s="192"/>
      <c r="B36" s="118"/>
      <c r="C36" s="119"/>
      <c r="D36" s="120"/>
      <c r="E36" s="119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93"/>
      <c r="S36" s="194"/>
      <c r="T36" s="195"/>
      <c r="U36" s="195"/>
      <c r="V36" s="195"/>
      <c r="W36" s="195"/>
      <c r="X36" s="195"/>
      <c r="Y36" s="195"/>
      <c r="Z36" s="195"/>
      <c r="AA36" s="195"/>
    </row>
    <row r="37" ht="20.25" customHeight="1">
      <c r="A37" s="192"/>
      <c r="B37" s="118"/>
      <c r="C37" s="119"/>
      <c r="D37" s="120"/>
      <c r="E37" s="119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93"/>
      <c r="S37" s="194"/>
      <c r="T37" s="195"/>
      <c r="U37" s="195"/>
      <c r="V37" s="195"/>
      <c r="W37" s="195"/>
      <c r="X37" s="195"/>
      <c r="Y37" s="195"/>
      <c r="Z37" s="195"/>
      <c r="AA37" s="195"/>
    </row>
    <row r="38" ht="20.25" customHeight="1">
      <c r="A38" s="192"/>
      <c r="B38" s="118"/>
      <c r="C38" s="119"/>
      <c r="D38" s="120"/>
      <c r="E38" s="119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93"/>
      <c r="S38" s="194"/>
      <c r="T38" s="195"/>
      <c r="U38" s="195"/>
      <c r="V38" s="195"/>
      <c r="W38" s="195"/>
      <c r="X38" s="195"/>
      <c r="Y38" s="195"/>
      <c r="Z38" s="195"/>
      <c r="AA38" s="195"/>
    </row>
    <row r="39" ht="20.25" customHeight="1">
      <c r="A39" s="192"/>
      <c r="B39" s="118"/>
      <c r="C39" s="119"/>
      <c r="D39" s="120"/>
      <c r="E39" s="119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93"/>
      <c r="S39" s="194"/>
      <c r="T39" s="195"/>
      <c r="U39" s="195"/>
      <c r="V39" s="195"/>
      <c r="W39" s="195"/>
      <c r="X39" s="195"/>
      <c r="Y39" s="195"/>
      <c r="Z39" s="195"/>
      <c r="AA39" s="195"/>
    </row>
    <row r="40" ht="20.25" customHeight="1">
      <c r="A40" s="192"/>
      <c r="B40" s="118"/>
      <c r="C40" s="119"/>
      <c r="D40" s="120"/>
      <c r="E40" s="119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93"/>
      <c r="S40" s="194"/>
      <c r="T40" s="195"/>
      <c r="U40" s="195"/>
      <c r="V40" s="195"/>
      <c r="W40" s="195"/>
      <c r="X40" s="195"/>
      <c r="Y40" s="195"/>
      <c r="Z40" s="195"/>
      <c r="AA40" s="195"/>
    </row>
    <row r="41" ht="20.25" customHeight="1">
      <c r="A41" s="192"/>
      <c r="B41" s="118"/>
      <c r="C41" s="119"/>
      <c r="D41" s="120"/>
      <c r="E41" s="119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93"/>
      <c r="S41" s="194"/>
      <c r="T41" s="195"/>
      <c r="U41" s="195"/>
      <c r="V41" s="195"/>
      <c r="W41" s="195"/>
      <c r="X41" s="195"/>
      <c r="Y41" s="195"/>
      <c r="Z41" s="195"/>
      <c r="AA41" s="195"/>
    </row>
    <row r="42" ht="20.25" customHeight="1">
      <c r="A42" s="192"/>
      <c r="B42" s="118"/>
      <c r="C42" s="119"/>
      <c r="D42" s="120"/>
      <c r="E42" s="119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93"/>
      <c r="S42" s="194"/>
      <c r="T42" s="195"/>
      <c r="U42" s="195"/>
      <c r="V42" s="195"/>
      <c r="W42" s="195"/>
      <c r="X42" s="195"/>
      <c r="Y42" s="195"/>
      <c r="Z42" s="195"/>
      <c r="AA42" s="195"/>
    </row>
    <row r="43" ht="20.25" customHeight="1">
      <c r="A43" s="192"/>
      <c r="B43" s="118"/>
      <c r="C43" s="119"/>
      <c r="D43" s="120"/>
      <c r="E43" s="119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93"/>
      <c r="S43" s="194"/>
      <c r="T43" s="195"/>
      <c r="U43" s="195"/>
      <c r="V43" s="195"/>
      <c r="W43" s="195"/>
      <c r="X43" s="195"/>
      <c r="Y43" s="195"/>
      <c r="Z43" s="195"/>
      <c r="AA43" s="195"/>
    </row>
    <row r="44" ht="20.25" customHeight="1">
      <c r="A44" s="192"/>
      <c r="B44" s="118"/>
      <c r="C44" s="119"/>
      <c r="D44" s="120"/>
      <c r="E44" s="119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93"/>
      <c r="S44" s="194"/>
      <c r="T44" s="195"/>
      <c r="U44" s="195"/>
      <c r="V44" s="195"/>
      <c r="W44" s="195"/>
      <c r="X44" s="195"/>
      <c r="Y44" s="195"/>
      <c r="Z44" s="195"/>
      <c r="AA44" s="195"/>
    </row>
    <row r="45" ht="20.25" customHeight="1">
      <c r="A45" s="192"/>
      <c r="B45" s="118"/>
      <c r="C45" s="119"/>
      <c r="D45" s="120"/>
      <c r="E45" s="119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93"/>
      <c r="S45" s="194"/>
      <c r="T45" s="195"/>
      <c r="U45" s="195"/>
      <c r="V45" s="195"/>
      <c r="W45" s="195"/>
      <c r="X45" s="195"/>
      <c r="Y45" s="195"/>
      <c r="Z45" s="195"/>
      <c r="AA45" s="195"/>
    </row>
    <row r="46" ht="20.25" customHeight="1">
      <c r="A46" s="192"/>
      <c r="B46" s="118"/>
      <c r="C46" s="119"/>
      <c r="D46" s="120"/>
      <c r="E46" s="119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93"/>
      <c r="S46" s="194"/>
      <c r="T46" s="195"/>
      <c r="U46" s="195"/>
      <c r="V46" s="195"/>
      <c r="W46" s="195"/>
      <c r="X46" s="195"/>
      <c r="Y46" s="195"/>
      <c r="Z46" s="195"/>
      <c r="AA46" s="195"/>
    </row>
    <row r="47" ht="20.25" customHeight="1">
      <c r="A47" s="192"/>
      <c r="B47" s="118"/>
      <c r="C47" s="119"/>
      <c r="D47" s="120"/>
      <c r="E47" s="119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93"/>
      <c r="S47" s="194"/>
      <c r="T47" s="195"/>
      <c r="U47" s="195"/>
      <c r="V47" s="195"/>
      <c r="W47" s="195"/>
      <c r="X47" s="195"/>
      <c r="Y47" s="195"/>
      <c r="Z47" s="195"/>
      <c r="AA47" s="195"/>
    </row>
    <row r="48" ht="20.25" customHeight="1">
      <c r="A48" s="192"/>
      <c r="B48" s="118"/>
      <c r="C48" s="119"/>
      <c r="D48" s="120"/>
      <c r="E48" s="119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93"/>
      <c r="S48" s="194"/>
      <c r="T48" s="195"/>
      <c r="U48" s="195"/>
      <c r="V48" s="195"/>
      <c r="W48" s="195"/>
      <c r="X48" s="195"/>
      <c r="Y48" s="195"/>
      <c r="Z48" s="195"/>
      <c r="AA48" s="195"/>
    </row>
    <row r="49" ht="20.25" customHeight="1">
      <c r="A49" s="192"/>
      <c r="B49" s="118"/>
      <c r="C49" s="119"/>
      <c r="D49" s="120"/>
      <c r="E49" s="119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93"/>
      <c r="S49" s="194"/>
      <c r="T49" s="195"/>
      <c r="U49" s="195"/>
      <c r="V49" s="195"/>
      <c r="W49" s="195"/>
      <c r="X49" s="195"/>
      <c r="Y49" s="195"/>
      <c r="Z49" s="195"/>
      <c r="AA49" s="195"/>
    </row>
    <row r="50" ht="20.25" customHeight="1">
      <c r="A50" s="192"/>
      <c r="B50" s="118"/>
      <c r="C50" s="119"/>
      <c r="D50" s="120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93"/>
      <c r="S50" s="194"/>
      <c r="T50" s="195"/>
      <c r="U50" s="195"/>
      <c r="V50" s="195"/>
      <c r="W50" s="195"/>
      <c r="X50" s="195"/>
      <c r="Y50" s="195"/>
      <c r="Z50" s="195"/>
      <c r="AA50" s="195"/>
    </row>
    <row r="51" ht="20.25" customHeight="1">
      <c r="A51" s="192"/>
      <c r="B51" s="118"/>
      <c r="C51" s="119"/>
      <c r="D51" s="120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93"/>
      <c r="S51" s="194"/>
      <c r="T51" s="195"/>
      <c r="U51" s="195"/>
      <c r="V51" s="195"/>
      <c r="W51" s="195"/>
      <c r="X51" s="195"/>
      <c r="Y51" s="195"/>
      <c r="Z51" s="195"/>
      <c r="AA51" s="195"/>
    </row>
    <row r="52" ht="20.25" customHeight="1">
      <c r="A52" s="192"/>
      <c r="B52" s="118"/>
      <c r="C52" s="119"/>
      <c r="D52" s="120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93"/>
      <c r="S52" s="194"/>
      <c r="T52" s="195"/>
      <c r="U52" s="195"/>
      <c r="V52" s="195"/>
      <c r="W52" s="195"/>
      <c r="X52" s="195"/>
      <c r="Y52" s="195"/>
      <c r="Z52" s="195"/>
      <c r="AA52" s="195"/>
    </row>
    <row r="53" ht="20.25" customHeight="1">
      <c r="A53" s="192"/>
      <c r="B53" s="118"/>
      <c r="C53" s="119"/>
      <c r="D53" s="120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93"/>
      <c r="S53" s="194"/>
      <c r="T53" s="195"/>
      <c r="U53" s="195"/>
      <c r="V53" s="195"/>
      <c r="W53" s="195"/>
      <c r="X53" s="195"/>
      <c r="Y53" s="195"/>
      <c r="Z53" s="195"/>
      <c r="AA53" s="195"/>
    </row>
    <row r="54" ht="20.25" customHeight="1">
      <c r="A54" s="19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93"/>
      <c r="S54" s="194"/>
      <c r="T54" s="195"/>
      <c r="U54" s="195"/>
      <c r="V54" s="195"/>
      <c r="W54" s="195"/>
      <c r="X54" s="195"/>
      <c r="Y54" s="195"/>
      <c r="Z54" s="195"/>
      <c r="AA54" s="195"/>
    </row>
    <row r="55" ht="20.25" customHeight="1">
      <c r="A55" s="19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93"/>
      <c r="S55" s="194"/>
      <c r="T55" s="195"/>
      <c r="U55" s="195"/>
      <c r="V55" s="195"/>
      <c r="W55" s="195"/>
      <c r="X55" s="195"/>
      <c r="Y55" s="195"/>
      <c r="Z55" s="195"/>
      <c r="AA55" s="195"/>
    </row>
    <row r="56" ht="20.25" customHeight="1">
      <c r="A56" s="19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93"/>
      <c r="S56" s="194"/>
      <c r="T56" s="195"/>
      <c r="U56" s="195"/>
      <c r="V56" s="195"/>
      <c r="W56" s="195"/>
      <c r="X56" s="195"/>
      <c r="Y56" s="195"/>
      <c r="Z56" s="195"/>
      <c r="AA56" s="195"/>
    </row>
    <row r="57" ht="20.25" customHeight="1">
      <c r="A57" s="19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93"/>
      <c r="S57" s="194"/>
      <c r="T57" s="195"/>
      <c r="U57" s="195"/>
      <c r="V57" s="195"/>
      <c r="W57" s="195"/>
      <c r="X57" s="195"/>
      <c r="Y57" s="195"/>
      <c r="Z57" s="195"/>
      <c r="AA57" s="195"/>
    </row>
    <row r="58" ht="20.25" customHeight="1">
      <c r="A58" s="19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93"/>
      <c r="S58" s="194"/>
      <c r="T58" s="195"/>
      <c r="U58" s="195"/>
      <c r="V58" s="195"/>
      <c r="W58" s="195"/>
      <c r="X58" s="195"/>
      <c r="Y58" s="195"/>
      <c r="Z58" s="195"/>
      <c r="AA58" s="195"/>
    </row>
    <row r="59" ht="20.25" customHeight="1">
      <c r="A59" s="19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93"/>
      <c r="S59" s="194"/>
      <c r="T59" s="195"/>
      <c r="U59" s="195"/>
      <c r="V59" s="195"/>
      <c r="W59" s="195"/>
      <c r="X59" s="195"/>
      <c r="Y59" s="195"/>
      <c r="Z59" s="195"/>
      <c r="AA59" s="195"/>
    </row>
    <row r="60" ht="20.25" customHeight="1">
      <c r="A60" s="19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93"/>
      <c r="S60" s="194"/>
      <c r="T60" s="195"/>
      <c r="U60" s="195"/>
      <c r="V60" s="195"/>
      <c r="W60" s="195"/>
      <c r="X60" s="195"/>
      <c r="Y60" s="195"/>
      <c r="Z60" s="195"/>
      <c r="AA60" s="195"/>
    </row>
    <row r="61" ht="20.25" customHeight="1">
      <c r="A61" s="19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93"/>
      <c r="S61" s="194"/>
      <c r="T61" s="195"/>
      <c r="U61" s="195"/>
      <c r="V61" s="195"/>
      <c r="W61" s="195"/>
      <c r="X61" s="195"/>
      <c r="Y61" s="195"/>
      <c r="Z61" s="195"/>
      <c r="AA61" s="195"/>
    </row>
    <row r="62" ht="20.25" customHeight="1">
      <c r="A62" s="19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93"/>
      <c r="S62" s="194"/>
      <c r="T62" s="195"/>
      <c r="U62" s="195"/>
      <c r="V62" s="195"/>
      <c r="W62" s="195"/>
      <c r="X62" s="195"/>
      <c r="Y62" s="195"/>
      <c r="Z62" s="195"/>
      <c r="AA62" s="195"/>
    </row>
    <row r="63" ht="20.25" customHeight="1">
      <c r="A63" s="19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93"/>
      <c r="S63" s="194"/>
      <c r="T63" s="195"/>
      <c r="U63" s="195"/>
      <c r="V63" s="195"/>
      <c r="W63" s="195"/>
      <c r="X63" s="195"/>
      <c r="Y63" s="195"/>
      <c r="Z63" s="195"/>
      <c r="AA63" s="195"/>
    </row>
    <row r="64" ht="20.25" customHeight="1">
      <c r="A64" s="19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93"/>
      <c r="S64" s="194"/>
      <c r="T64" s="195"/>
      <c r="U64" s="195"/>
      <c r="V64" s="195"/>
      <c r="W64" s="195"/>
      <c r="X64" s="195"/>
      <c r="Y64" s="195"/>
      <c r="Z64" s="195"/>
      <c r="AA64" s="195"/>
    </row>
    <row r="65" ht="20.25" customHeight="1">
      <c r="A65" s="19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93"/>
      <c r="S65" s="194"/>
      <c r="T65" s="195"/>
      <c r="U65" s="195"/>
      <c r="V65" s="195"/>
      <c r="W65" s="195"/>
      <c r="X65" s="195"/>
      <c r="Y65" s="195"/>
      <c r="Z65" s="195"/>
      <c r="AA65" s="195"/>
    </row>
    <row r="66" ht="20.25" customHeight="1">
      <c r="A66" s="19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93"/>
      <c r="S66" s="194"/>
      <c r="T66" s="195"/>
      <c r="U66" s="195"/>
      <c r="V66" s="195"/>
      <c r="W66" s="195"/>
      <c r="X66" s="195"/>
      <c r="Y66" s="195"/>
      <c r="Z66" s="195"/>
      <c r="AA66" s="195"/>
    </row>
    <row r="67" ht="20.25" customHeight="1">
      <c r="A67" s="19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93"/>
      <c r="S67" s="194"/>
      <c r="T67" s="195"/>
      <c r="U67" s="195"/>
      <c r="V67" s="195"/>
      <c r="W67" s="195"/>
      <c r="X67" s="195"/>
      <c r="Y67" s="195"/>
      <c r="Z67" s="195"/>
      <c r="AA67" s="195"/>
    </row>
    <row r="68" ht="20.25" customHeight="1">
      <c r="A68" s="19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93"/>
      <c r="S68" s="194"/>
      <c r="T68" s="195"/>
      <c r="U68" s="195"/>
      <c r="V68" s="195"/>
      <c r="W68" s="195"/>
      <c r="X68" s="195"/>
      <c r="Y68" s="195"/>
      <c r="Z68" s="195"/>
      <c r="AA68" s="195"/>
    </row>
    <row r="69" ht="20.25" customHeight="1">
      <c r="A69" s="19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93"/>
      <c r="S69" s="194"/>
      <c r="T69" s="195"/>
      <c r="U69" s="195"/>
      <c r="V69" s="195"/>
      <c r="W69" s="195"/>
      <c r="X69" s="195"/>
      <c r="Y69" s="195"/>
      <c r="Z69" s="195"/>
      <c r="AA69" s="195"/>
    </row>
    <row r="70" ht="20.25" customHeight="1">
      <c r="A70" s="19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93"/>
      <c r="S70" s="194"/>
      <c r="T70" s="195"/>
      <c r="U70" s="195"/>
      <c r="V70" s="195"/>
      <c r="W70" s="195"/>
      <c r="X70" s="195"/>
      <c r="Y70" s="195"/>
      <c r="Z70" s="195"/>
      <c r="AA70" s="195"/>
    </row>
    <row r="71" ht="20.25" customHeight="1">
      <c r="A71" s="19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93"/>
      <c r="S71" s="194"/>
      <c r="T71" s="195"/>
      <c r="U71" s="195"/>
      <c r="V71" s="195"/>
      <c r="W71" s="195"/>
      <c r="X71" s="195"/>
      <c r="Y71" s="195"/>
      <c r="Z71" s="195"/>
      <c r="AA71" s="195"/>
    </row>
    <row r="72" ht="20.25" customHeight="1">
      <c r="A72" s="19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93"/>
      <c r="S72" s="194"/>
      <c r="T72" s="195"/>
      <c r="U72" s="195"/>
      <c r="V72" s="195"/>
      <c r="W72" s="195"/>
      <c r="X72" s="195"/>
      <c r="Y72" s="195"/>
      <c r="Z72" s="195"/>
      <c r="AA72" s="195"/>
    </row>
    <row r="73" ht="20.25" customHeight="1">
      <c r="A73" s="19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93"/>
      <c r="S73" s="194"/>
      <c r="T73" s="195"/>
      <c r="U73" s="195"/>
      <c r="V73" s="195"/>
      <c r="W73" s="195"/>
      <c r="X73" s="195"/>
      <c r="Y73" s="195"/>
      <c r="Z73" s="195"/>
      <c r="AA73" s="195"/>
    </row>
    <row r="74" ht="20.25" customHeight="1">
      <c r="A74" s="19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93"/>
      <c r="S74" s="194"/>
      <c r="T74" s="195"/>
      <c r="U74" s="195"/>
      <c r="V74" s="195"/>
      <c r="W74" s="195"/>
      <c r="X74" s="195"/>
      <c r="Y74" s="195"/>
      <c r="Z74" s="195"/>
      <c r="AA74" s="195"/>
    </row>
    <row r="75" ht="20.25" customHeight="1">
      <c r="A75" s="19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93"/>
      <c r="S75" s="194"/>
      <c r="T75" s="195"/>
      <c r="U75" s="195"/>
      <c r="V75" s="195"/>
      <c r="W75" s="195"/>
      <c r="X75" s="195"/>
      <c r="Y75" s="195"/>
      <c r="Z75" s="195"/>
      <c r="AA75" s="195"/>
    </row>
    <row r="76" ht="20.25" customHeight="1">
      <c r="A76" s="19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93"/>
      <c r="S76" s="194"/>
      <c r="T76" s="195"/>
      <c r="U76" s="195"/>
      <c r="V76" s="195"/>
      <c r="W76" s="195"/>
      <c r="X76" s="195"/>
      <c r="Y76" s="195"/>
      <c r="Z76" s="195"/>
      <c r="AA76" s="195"/>
    </row>
    <row r="77" ht="20.25" customHeight="1">
      <c r="A77" s="19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93"/>
      <c r="S77" s="194"/>
      <c r="T77" s="195"/>
      <c r="U77" s="195"/>
      <c r="V77" s="195"/>
      <c r="W77" s="195"/>
      <c r="X77" s="195"/>
      <c r="Y77" s="195"/>
      <c r="Z77" s="195"/>
      <c r="AA77" s="195"/>
    </row>
    <row r="78" ht="20.25" customHeight="1">
      <c r="A78" s="19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93"/>
      <c r="S78" s="194"/>
      <c r="T78" s="195"/>
      <c r="U78" s="195"/>
      <c r="V78" s="195"/>
      <c r="W78" s="195"/>
      <c r="X78" s="195"/>
      <c r="Y78" s="195"/>
      <c r="Z78" s="195"/>
      <c r="AA78" s="195"/>
    </row>
    <row r="79" ht="20.25" customHeight="1">
      <c r="A79" s="19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93"/>
      <c r="S79" s="194"/>
      <c r="T79" s="195"/>
      <c r="U79" s="195"/>
      <c r="V79" s="195"/>
      <c r="W79" s="195"/>
      <c r="X79" s="195"/>
      <c r="Y79" s="195"/>
      <c r="Z79" s="195"/>
      <c r="AA79" s="195"/>
    </row>
    <row r="80" ht="20.25" customHeight="1">
      <c r="A80" s="19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93"/>
      <c r="S80" s="194"/>
      <c r="T80" s="195"/>
      <c r="U80" s="195"/>
      <c r="V80" s="195"/>
      <c r="W80" s="195"/>
      <c r="X80" s="195"/>
      <c r="Y80" s="195"/>
      <c r="Z80" s="195"/>
      <c r="AA80" s="19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0 G11:G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C11:C80">
      <formula1>'Elenco Dip Sedi'!$D$5:$D$32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G11:G80">
      <formula1>'Elenco Dip Sedi'!$C$5:$C$32</formula1>
    </dataValidation>
    <dataValidation type="list" allowBlank="1" showErrorMessage="1" sqref="P11:P80">
      <formula1>'Elenco Dip Sedi'!$K$5:$K$32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E11:E80">
      <formula1>'Elenco Dip Sedi'!$N$5:$N$32</formula1>
    </dataValidation>
    <dataValidation type="list" allowBlank="1" showErrorMessage="1" sqref="F11:F80">
      <formula1>"M,F"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6.13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57"/>
      <c r="D1" s="156" t="s">
        <v>66</v>
      </c>
      <c r="E1" s="157" t="s">
        <v>67</v>
      </c>
      <c r="F1" s="53"/>
      <c r="G1" s="158" t="s">
        <v>103</v>
      </c>
      <c r="H1" s="159"/>
      <c r="I1" s="55"/>
      <c r="J1" s="56"/>
      <c r="L1" s="56"/>
      <c r="M1" s="57"/>
      <c r="N1" s="58"/>
      <c r="O1" s="59"/>
      <c r="P1" s="60"/>
      <c r="Q1" s="61"/>
    </row>
    <row r="2" ht="20.25" customHeight="1">
      <c r="D2" s="160"/>
      <c r="E2" s="160"/>
      <c r="F2" s="53"/>
      <c r="G2" s="161"/>
      <c r="H2" s="162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63"/>
      <c r="E3" s="164"/>
      <c r="F3" s="53"/>
      <c r="G3" s="57"/>
      <c r="H3" s="57"/>
      <c r="I3" s="70"/>
      <c r="J3" s="165"/>
      <c r="K3" s="165"/>
      <c r="L3" s="165"/>
      <c r="M3" s="166"/>
      <c r="N3" s="167"/>
      <c r="O3" s="72"/>
      <c r="P3" s="69"/>
      <c r="Q3" s="61"/>
    </row>
    <row r="4" ht="21.0" customHeight="1">
      <c r="D4" s="168"/>
      <c r="E4" s="169"/>
      <c r="F4" s="84"/>
      <c r="G4" s="84"/>
      <c r="H4" s="84"/>
      <c r="I4" s="170"/>
      <c r="J4" s="171"/>
      <c r="K4" s="171"/>
      <c r="L4" s="171"/>
      <c r="M4" s="78"/>
      <c r="N4" s="89"/>
      <c r="O4" s="172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73"/>
      <c r="E5" s="174"/>
      <c r="F5" s="175"/>
      <c r="G5" s="176"/>
      <c r="H5" s="177"/>
      <c r="I5" s="178"/>
      <c r="J5" s="179" t="s">
        <v>104</v>
      </c>
      <c r="L5" s="180"/>
      <c r="M5" s="181"/>
      <c r="N5" s="182"/>
      <c r="O5" s="183"/>
      <c r="P5" s="184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99"/>
      <c r="E6" s="77"/>
      <c r="F6" s="76"/>
      <c r="G6" s="77"/>
      <c r="H6" s="78"/>
      <c r="I6" s="80" t="s">
        <v>105</v>
      </c>
      <c r="L6" s="186">
        <f>SUMIF(A11:A140,"INZIA IL TRATTAMENTO-VENDITA", I11:I140)</f>
        <v>0</v>
      </c>
      <c r="M6" s="187"/>
      <c r="O6" s="82"/>
      <c r="P6" s="18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89" t="s">
        <v>106</v>
      </c>
      <c r="K7" s="78"/>
      <c r="L7" s="190">
        <f>L6+SUMIFS('OPPORTUNITA DI VENDITA'!J198:J513,'OPPORTUNITA DI VENDITA'!C198:C513, "&gt;=01/10/2026", 'OPPORTUNITA DI VENDITA'!C198:C513, "&lt;=31/10/2026",'OPPORTUNITA DI VENDITA'!B198:B513,"ESEGUITO")</f>
        <v>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236" t="s">
        <v>107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91"/>
      <c r="C10" s="191"/>
      <c r="D10" s="191"/>
      <c r="E10" s="191"/>
      <c r="F10" s="114"/>
      <c r="G10" s="191"/>
      <c r="H10" s="191"/>
      <c r="I10" s="191"/>
      <c r="J10" s="237"/>
      <c r="K10" s="237"/>
      <c r="L10" s="237"/>
      <c r="M10" s="237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0.25" customHeight="1">
      <c r="A11" s="192"/>
      <c r="B11" s="118"/>
      <c r="C11" s="119"/>
      <c r="D11" s="120"/>
      <c r="E11" s="119"/>
      <c r="F11" s="119"/>
      <c r="G11" s="119"/>
      <c r="H11" s="119"/>
      <c r="I11" s="117"/>
      <c r="J11" s="118"/>
      <c r="K11" s="46"/>
      <c r="L11" s="46"/>
      <c r="M11" s="46"/>
      <c r="N11" s="117"/>
      <c r="O11" s="119"/>
      <c r="P11" s="119"/>
      <c r="Q11" s="120"/>
      <c r="R11" s="193"/>
      <c r="S11" s="194"/>
      <c r="T11" s="195"/>
      <c r="U11" s="195"/>
      <c r="V11" s="195"/>
      <c r="W11" s="195"/>
      <c r="X11" s="195"/>
      <c r="Y11" s="195"/>
      <c r="Z11" s="195"/>
      <c r="AA11" s="195"/>
    </row>
    <row r="12" ht="20.25" customHeight="1">
      <c r="A12" s="192"/>
      <c r="B12" s="118"/>
      <c r="C12" s="119"/>
      <c r="D12" s="120"/>
      <c r="E12" s="119"/>
      <c r="F12" s="119"/>
      <c r="G12" s="119"/>
      <c r="H12" s="119"/>
      <c r="I12" s="117"/>
      <c r="J12" s="118"/>
      <c r="K12" s="46"/>
      <c r="L12" s="46"/>
      <c r="M12" s="46"/>
      <c r="N12" s="117"/>
      <c r="O12" s="119"/>
      <c r="P12" s="119"/>
      <c r="Q12" s="120"/>
      <c r="R12" s="193"/>
      <c r="S12" s="194"/>
      <c r="T12" s="195"/>
      <c r="U12" s="195"/>
      <c r="V12" s="195"/>
      <c r="W12" s="195"/>
      <c r="X12" s="195"/>
      <c r="Y12" s="195"/>
      <c r="Z12" s="195"/>
      <c r="AA12" s="195"/>
    </row>
    <row r="13" ht="20.25" customHeight="1">
      <c r="A13" s="192"/>
      <c r="B13" s="118"/>
      <c r="C13" s="119"/>
      <c r="D13" s="120"/>
      <c r="E13" s="119"/>
      <c r="F13" s="119"/>
      <c r="G13" s="119"/>
      <c r="H13" s="119"/>
      <c r="I13" s="117"/>
      <c r="J13" s="118"/>
      <c r="K13" s="46"/>
      <c r="L13" s="46"/>
      <c r="M13" s="46"/>
      <c r="N13" s="117"/>
      <c r="O13" s="119"/>
      <c r="P13" s="119"/>
      <c r="Q13" s="120"/>
      <c r="R13" s="193"/>
      <c r="S13" s="194"/>
      <c r="T13" s="195"/>
      <c r="U13" s="195"/>
      <c r="V13" s="195"/>
      <c r="W13" s="195"/>
      <c r="X13" s="195"/>
      <c r="Y13" s="195"/>
      <c r="Z13" s="195"/>
      <c r="AA13" s="195"/>
    </row>
    <row r="14" ht="20.25" customHeight="1">
      <c r="A14" s="192"/>
      <c r="B14" s="118"/>
      <c r="C14" s="119"/>
      <c r="D14" s="120"/>
      <c r="E14" s="119"/>
      <c r="F14" s="119"/>
      <c r="G14" s="119"/>
      <c r="H14" s="119"/>
      <c r="I14" s="117"/>
      <c r="J14" s="118"/>
      <c r="K14" s="46"/>
      <c r="L14" s="46"/>
      <c r="M14" s="46"/>
      <c r="N14" s="117"/>
      <c r="O14" s="119"/>
      <c r="P14" s="119"/>
      <c r="Q14" s="120"/>
      <c r="R14" s="193"/>
      <c r="S14" s="194"/>
      <c r="T14" s="195"/>
      <c r="U14" s="195"/>
      <c r="V14" s="195"/>
      <c r="W14" s="195"/>
      <c r="X14" s="195"/>
      <c r="Y14" s="195"/>
      <c r="Z14" s="195"/>
      <c r="AA14" s="195"/>
    </row>
    <row r="15" ht="20.25" customHeight="1">
      <c r="A15" s="192"/>
      <c r="B15" s="118"/>
      <c r="C15" s="119"/>
      <c r="D15" s="120"/>
      <c r="E15" s="119"/>
      <c r="F15" s="119"/>
      <c r="G15" s="119"/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93"/>
      <c r="S15" s="194"/>
      <c r="T15" s="195"/>
      <c r="U15" s="195"/>
      <c r="V15" s="195"/>
      <c r="W15" s="195"/>
      <c r="X15" s="195"/>
      <c r="Y15" s="195"/>
      <c r="Z15" s="195"/>
      <c r="AA15" s="195"/>
    </row>
    <row r="16" ht="20.25" customHeight="1">
      <c r="A16" s="192"/>
      <c r="B16" s="118"/>
      <c r="C16" s="119"/>
      <c r="D16" s="120"/>
      <c r="E16" s="119"/>
      <c r="F16" s="119"/>
      <c r="G16" s="119"/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93"/>
      <c r="S16" s="194"/>
      <c r="T16" s="195"/>
      <c r="U16" s="195"/>
      <c r="V16" s="195"/>
      <c r="W16" s="195"/>
      <c r="X16" s="195"/>
      <c r="Y16" s="195"/>
      <c r="Z16" s="195"/>
      <c r="AA16" s="195"/>
    </row>
    <row r="17" ht="20.25" customHeight="1">
      <c r="A17" s="192"/>
      <c r="B17" s="118"/>
      <c r="C17" s="119"/>
      <c r="D17" s="120"/>
      <c r="E17" s="119"/>
      <c r="F17" s="119"/>
      <c r="G17" s="119"/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93"/>
      <c r="S17" s="194"/>
      <c r="T17" s="195"/>
      <c r="U17" s="195"/>
      <c r="V17" s="195"/>
      <c r="W17" s="195"/>
      <c r="X17" s="195"/>
      <c r="Y17" s="195"/>
      <c r="Z17" s="195"/>
      <c r="AA17" s="195"/>
    </row>
    <row r="18" ht="20.25" customHeight="1">
      <c r="A18" s="192"/>
      <c r="B18" s="118"/>
      <c r="C18" s="119"/>
      <c r="D18" s="120"/>
      <c r="E18" s="119"/>
      <c r="F18" s="119"/>
      <c r="G18" s="119"/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93"/>
      <c r="S18" s="194"/>
      <c r="T18" s="195"/>
      <c r="U18" s="195"/>
      <c r="V18" s="195"/>
      <c r="W18" s="195"/>
      <c r="X18" s="195"/>
      <c r="Y18" s="195"/>
      <c r="Z18" s="195"/>
      <c r="AA18" s="195"/>
    </row>
    <row r="19" ht="20.25" customHeight="1">
      <c r="A19" s="192"/>
      <c r="B19" s="118"/>
      <c r="C19" s="119"/>
      <c r="D19" s="120"/>
      <c r="E19" s="119"/>
      <c r="F19" s="119"/>
      <c r="G19" s="119"/>
      <c r="H19" s="119"/>
      <c r="I19" s="117"/>
      <c r="J19" s="118"/>
      <c r="K19" s="46"/>
      <c r="L19" s="46"/>
      <c r="M19" s="46"/>
      <c r="N19" s="117"/>
      <c r="O19" s="119"/>
      <c r="P19" s="119"/>
      <c r="Q19" s="120"/>
      <c r="R19" s="193"/>
      <c r="S19" s="194"/>
      <c r="T19" s="195"/>
      <c r="U19" s="195"/>
      <c r="V19" s="195"/>
      <c r="W19" s="195"/>
      <c r="X19" s="195"/>
      <c r="Y19" s="195"/>
      <c r="Z19" s="195"/>
      <c r="AA19" s="195"/>
    </row>
    <row r="20" ht="20.25" customHeight="1">
      <c r="A20" s="192"/>
      <c r="B20" s="118"/>
      <c r="C20" s="119"/>
      <c r="D20" s="120"/>
      <c r="E20" s="119"/>
      <c r="F20" s="119"/>
      <c r="G20" s="119"/>
      <c r="H20" s="119"/>
      <c r="I20" s="117"/>
      <c r="J20" s="118"/>
      <c r="K20" s="46"/>
      <c r="L20" s="46"/>
      <c r="M20" s="46"/>
      <c r="N20" s="117"/>
      <c r="O20" s="119"/>
      <c r="P20" s="119"/>
      <c r="Q20" s="120"/>
      <c r="R20" s="193"/>
      <c r="S20" s="194"/>
      <c r="T20" s="195"/>
      <c r="U20" s="195"/>
      <c r="V20" s="195"/>
      <c r="W20" s="195"/>
      <c r="X20" s="195"/>
      <c r="Y20" s="195"/>
      <c r="Z20" s="195"/>
      <c r="AA20" s="195"/>
    </row>
    <row r="21" ht="20.25" customHeight="1">
      <c r="A21" s="192"/>
      <c r="B21" s="118"/>
      <c r="C21" s="119"/>
      <c r="D21" s="120"/>
      <c r="E21" s="119"/>
      <c r="F21" s="119"/>
      <c r="G21" s="119"/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193"/>
      <c r="S21" s="194"/>
      <c r="T21" s="195"/>
      <c r="U21" s="195"/>
      <c r="V21" s="195"/>
      <c r="W21" s="195"/>
      <c r="X21" s="195"/>
      <c r="Y21" s="195"/>
      <c r="Z21" s="195"/>
      <c r="AA21" s="195"/>
    </row>
    <row r="22" ht="20.25" customHeight="1">
      <c r="A22" s="192"/>
      <c r="B22" s="118"/>
      <c r="C22" s="119"/>
      <c r="D22" s="120"/>
      <c r="E22" s="119"/>
      <c r="F22" s="119"/>
      <c r="G22" s="119"/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93"/>
      <c r="S22" s="194"/>
      <c r="T22" s="195"/>
      <c r="U22" s="195"/>
      <c r="V22" s="195"/>
      <c r="W22" s="195"/>
      <c r="X22" s="195"/>
      <c r="Y22" s="195"/>
      <c r="Z22" s="195"/>
      <c r="AA22" s="195"/>
    </row>
    <row r="23" ht="20.25" customHeight="1">
      <c r="A23" s="192"/>
      <c r="B23" s="118"/>
      <c r="C23" s="119"/>
      <c r="D23" s="120"/>
      <c r="E23" s="119"/>
      <c r="F23" s="119"/>
      <c r="G23" s="119"/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93"/>
      <c r="S23" s="194"/>
      <c r="T23" s="195"/>
      <c r="U23" s="195"/>
      <c r="V23" s="195"/>
      <c r="W23" s="195"/>
      <c r="X23" s="195"/>
      <c r="Y23" s="195"/>
      <c r="Z23" s="195"/>
      <c r="AA23" s="195"/>
    </row>
    <row r="24" ht="20.25" customHeight="1">
      <c r="A24" s="192"/>
      <c r="B24" s="118"/>
      <c r="C24" s="119"/>
      <c r="D24" s="120"/>
      <c r="E24" s="119"/>
      <c r="F24" s="119"/>
      <c r="G24" s="119"/>
      <c r="H24" s="119"/>
      <c r="I24" s="117"/>
      <c r="J24" s="118"/>
      <c r="K24" s="46"/>
      <c r="L24" s="46"/>
      <c r="M24" s="46"/>
      <c r="N24" s="117"/>
      <c r="O24" s="119"/>
      <c r="P24" s="119"/>
      <c r="Q24" s="120"/>
      <c r="R24" s="193"/>
      <c r="S24" s="194"/>
      <c r="T24" s="195"/>
      <c r="U24" s="195"/>
      <c r="V24" s="195"/>
      <c r="W24" s="195"/>
      <c r="X24" s="195"/>
      <c r="Y24" s="195"/>
      <c r="Z24" s="195"/>
      <c r="AA24" s="195"/>
    </row>
    <row r="25" ht="20.25" customHeight="1">
      <c r="A25" s="192"/>
      <c r="B25" s="118"/>
      <c r="C25" s="119"/>
      <c r="D25" s="120"/>
      <c r="E25" s="119"/>
      <c r="F25" s="119"/>
      <c r="G25" s="119"/>
      <c r="H25" s="119"/>
      <c r="I25" s="117"/>
      <c r="J25" s="118"/>
      <c r="K25" s="46"/>
      <c r="L25" s="46"/>
      <c r="M25" s="46"/>
      <c r="N25" s="117"/>
      <c r="O25" s="119"/>
      <c r="P25" s="119"/>
      <c r="Q25" s="120"/>
      <c r="R25" s="193"/>
      <c r="S25" s="194"/>
      <c r="T25" s="195"/>
      <c r="U25" s="195"/>
      <c r="V25" s="195"/>
      <c r="W25" s="195"/>
      <c r="X25" s="195"/>
      <c r="Y25" s="195"/>
      <c r="Z25" s="195"/>
      <c r="AA25" s="195"/>
    </row>
    <row r="26" ht="20.25" customHeight="1">
      <c r="A26" s="192"/>
      <c r="B26" s="118"/>
      <c r="C26" s="119"/>
      <c r="D26" s="120"/>
      <c r="E26" s="119"/>
      <c r="F26" s="119"/>
      <c r="G26" s="119"/>
      <c r="H26" s="119"/>
      <c r="I26" s="117"/>
      <c r="J26" s="118"/>
      <c r="K26" s="46"/>
      <c r="L26" s="46"/>
      <c r="M26" s="46"/>
      <c r="N26" s="117"/>
      <c r="O26" s="119"/>
      <c r="P26" s="119"/>
      <c r="Q26" s="120"/>
      <c r="R26" s="193"/>
      <c r="S26" s="194"/>
      <c r="T26" s="195"/>
      <c r="U26" s="195"/>
      <c r="V26" s="195"/>
      <c r="W26" s="195"/>
      <c r="X26" s="195"/>
      <c r="Y26" s="195"/>
      <c r="Z26" s="195"/>
      <c r="AA26" s="195"/>
    </row>
    <row r="27" ht="20.25" customHeight="1">
      <c r="A27" s="192"/>
      <c r="B27" s="118"/>
      <c r="C27" s="119"/>
      <c r="D27" s="120"/>
      <c r="E27" s="119"/>
      <c r="F27" s="119"/>
      <c r="G27" s="119"/>
      <c r="H27" s="119"/>
      <c r="I27" s="117"/>
      <c r="J27" s="118"/>
      <c r="K27" s="46"/>
      <c r="L27" s="46"/>
      <c r="M27" s="46"/>
      <c r="N27" s="117"/>
      <c r="O27" s="119"/>
      <c r="P27" s="119"/>
      <c r="Q27" s="120"/>
      <c r="R27" s="193"/>
      <c r="S27" s="194"/>
      <c r="T27" s="195"/>
      <c r="U27" s="195"/>
      <c r="V27" s="195"/>
      <c r="W27" s="195"/>
      <c r="X27" s="195"/>
      <c r="Y27" s="195"/>
      <c r="Z27" s="195"/>
      <c r="AA27" s="195"/>
    </row>
    <row r="28" ht="20.25" customHeight="1">
      <c r="A28" s="192"/>
      <c r="B28" s="118"/>
      <c r="C28" s="119"/>
      <c r="D28" s="120"/>
      <c r="E28" s="119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93"/>
      <c r="S28" s="194"/>
      <c r="T28" s="195"/>
      <c r="U28" s="195"/>
      <c r="V28" s="195"/>
      <c r="W28" s="195"/>
      <c r="X28" s="195"/>
      <c r="Y28" s="195"/>
      <c r="Z28" s="195"/>
      <c r="AA28" s="195"/>
    </row>
    <row r="29" ht="20.25" customHeight="1">
      <c r="A29" s="192"/>
      <c r="B29" s="118"/>
      <c r="C29" s="119"/>
      <c r="D29" s="120"/>
      <c r="E29" s="119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93"/>
      <c r="S29" s="194"/>
      <c r="T29" s="195"/>
      <c r="U29" s="195"/>
      <c r="V29" s="195"/>
      <c r="W29" s="195"/>
      <c r="X29" s="195"/>
      <c r="Y29" s="195"/>
      <c r="Z29" s="195"/>
      <c r="AA29" s="195"/>
    </row>
    <row r="30" ht="20.25" customHeight="1">
      <c r="A30" s="192"/>
      <c r="B30" s="118"/>
      <c r="C30" s="119"/>
      <c r="D30" s="120"/>
      <c r="E30" s="119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93"/>
      <c r="S30" s="194"/>
      <c r="T30" s="195"/>
      <c r="U30" s="195"/>
      <c r="V30" s="195"/>
      <c r="W30" s="195"/>
      <c r="X30" s="195"/>
      <c r="Y30" s="195"/>
      <c r="Z30" s="195"/>
      <c r="AA30" s="195"/>
    </row>
    <row r="31" ht="20.25" customHeight="1">
      <c r="A31" s="192"/>
      <c r="B31" s="118"/>
      <c r="C31" s="119"/>
      <c r="D31" s="120"/>
      <c r="E31" s="119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93"/>
      <c r="S31" s="194"/>
      <c r="T31" s="195"/>
      <c r="U31" s="195"/>
      <c r="V31" s="195"/>
      <c r="W31" s="195"/>
      <c r="X31" s="195"/>
      <c r="Y31" s="195"/>
      <c r="Z31" s="195"/>
      <c r="AA31" s="195"/>
    </row>
    <row r="32" ht="20.25" customHeight="1">
      <c r="A32" s="192"/>
      <c r="B32" s="118"/>
      <c r="C32" s="119"/>
      <c r="D32" s="120"/>
      <c r="E32" s="119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93"/>
      <c r="S32" s="194"/>
      <c r="T32" s="195"/>
      <c r="U32" s="195"/>
      <c r="V32" s="195"/>
      <c r="W32" s="195"/>
      <c r="X32" s="195"/>
      <c r="Y32" s="195"/>
      <c r="Z32" s="195"/>
      <c r="AA32" s="195"/>
    </row>
    <row r="33" ht="20.25" customHeight="1">
      <c r="A33" s="192"/>
      <c r="B33" s="118"/>
      <c r="C33" s="119"/>
      <c r="D33" s="120"/>
      <c r="E33" s="119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93"/>
      <c r="S33" s="194"/>
      <c r="T33" s="195"/>
      <c r="U33" s="195"/>
      <c r="V33" s="195"/>
      <c r="W33" s="195"/>
      <c r="X33" s="195"/>
      <c r="Y33" s="195"/>
      <c r="Z33" s="195"/>
      <c r="AA33" s="195"/>
    </row>
    <row r="34" ht="20.25" customHeight="1">
      <c r="A34" s="192"/>
      <c r="B34" s="118"/>
      <c r="C34" s="119"/>
      <c r="D34" s="120"/>
      <c r="E34" s="119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93"/>
      <c r="S34" s="194"/>
      <c r="T34" s="195"/>
      <c r="U34" s="195"/>
      <c r="V34" s="195"/>
      <c r="W34" s="195"/>
      <c r="X34" s="195"/>
      <c r="Y34" s="195"/>
      <c r="Z34" s="195"/>
      <c r="AA34" s="195"/>
    </row>
    <row r="35" ht="20.25" customHeight="1">
      <c r="A35" s="192"/>
      <c r="B35" s="118"/>
      <c r="C35" s="119"/>
      <c r="D35" s="120"/>
      <c r="E35" s="119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93"/>
      <c r="S35" s="194"/>
      <c r="T35" s="195"/>
      <c r="U35" s="195"/>
      <c r="V35" s="195"/>
      <c r="W35" s="195"/>
      <c r="X35" s="195"/>
      <c r="Y35" s="195"/>
      <c r="Z35" s="195"/>
      <c r="AA35" s="195"/>
    </row>
    <row r="36" ht="20.25" customHeight="1">
      <c r="A36" s="192"/>
      <c r="B36" s="118"/>
      <c r="C36" s="119"/>
      <c r="D36" s="120"/>
      <c r="E36" s="119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93"/>
      <c r="S36" s="194"/>
      <c r="T36" s="195"/>
      <c r="U36" s="195"/>
      <c r="V36" s="195"/>
      <c r="W36" s="195"/>
      <c r="X36" s="195"/>
      <c r="Y36" s="195"/>
      <c r="Z36" s="195"/>
      <c r="AA36" s="195"/>
    </row>
    <row r="37" ht="20.25" customHeight="1">
      <c r="A37" s="192"/>
      <c r="B37" s="118"/>
      <c r="C37" s="119"/>
      <c r="D37" s="120"/>
      <c r="E37" s="119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93"/>
      <c r="S37" s="194"/>
      <c r="T37" s="195"/>
      <c r="U37" s="195"/>
      <c r="V37" s="195"/>
      <c r="W37" s="195"/>
      <c r="X37" s="195"/>
      <c r="Y37" s="195"/>
      <c r="Z37" s="195"/>
      <c r="AA37" s="195"/>
    </row>
    <row r="38" ht="20.25" customHeight="1">
      <c r="A38" s="192"/>
      <c r="B38" s="118"/>
      <c r="C38" s="119"/>
      <c r="D38" s="120"/>
      <c r="E38" s="119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93"/>
      <c r="S38" s="194"/>
      <c r="T38" s="195"/>
      <c r="U38" s="195"/>
      <c r="V38" s="195"/>
      <c r="W38" s="195"/>
      <c r="X38" s="195"/>
      <c r="Y38" s="195"/>
      <c r="Z38" s="195"/>
      <c r="AA38" s="195"/>
    </row>
    <row r="39" ht="20.25" customHeight="1">
      <c r="A39" s="192"/>
      <c r="B39" s="118"/>
      <c r="C39" s="119"/>
      <c r="D39" s="120"/>
      <c r="E39" s="119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93"/>
      <c r="S39" s="194"/>
      <c r="T39" s="195"/>
      <c r="U39" s="195"/>
      <c r="V39" s="195"/>
      <c r="W39" s="195"/>
      <c r="X39" s="195"/>
      <c r="Y39" s="195"/>
      <c r="Z39" s="195"/>
      <c r="AA39" s="195"/>
    </row>
    <row r="40" ht="20.25" customHeight="1">
      <c r="A40" s="192"/>
      <c r="B40" s="118"/>
      <c r="C40" s="119"/>
      <c r="D40" s="120"/>
      <c r="E40" s="119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93"/>
      <c r="S40" s="194"/>
      <c r="T40" s="195"/>
      <c r="U40" s="195"/>
      <c r="V40" s="195"/>
      <c r="W40" s="195"/>
      <c r="X40" s="195"/>
      <c r="Y40" s="195"/>
      <c r="Z40" s="195"/>
      <c r="AA40" s="195"/>
    </row>
    <row r="41" ht="20.25" customHeight="1">
      <c r="A41" s="192"/>
      <c r="B41" s="118"/>
      <c r="C41" s="119"/>
      <c r="D41" s="120"/>
      <c r="E41" s="119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93"/>
      <c r="S41" s="194"/>
      <c r="T41" s="195"/>
      <c r="U41" s="195"/>
      <c r="V41" s="195"/>
      <c r="W41" s="195"/>
      <c r="X41" s="195"/>
      <c r="Y41" s="195"/>
      <c r="Z41" s="195"/>
      <c r="AA41" s="195"/>
    </row>
    <row r="42" ht="20.25" customHeight="1">
      <c r="A42" s="192"/>
      <c r="B42" s="118"/>
      <c r="C42" s="119"/>
      <c r="D42" s="120"/>
      <c r="E42" s="119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93"/>
      <c r="S42" s="194"/>
      <c r="T42" s="195"/>
      <c r="U42" s="195"/>
      <c r="V42" s="195"/>
      <c r="W42" s="195"/>
      <c r="X42" s="195"/>
      <c r="Y42" s="195"/>
      <c r="Z42" s="195"/>
      <c r="AA42" s="195"/>
    </row>
    <row r="43" ht="20.25" customHeight="1">
      <c r="A43" s="192"/>
      <c r="B43" s="118"/>
      <c r="C43" s="119"/>
      <c r="D43" s="120"/>
      <c r="E43" s="119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93"/>
      <c r="S43" s="194"/>
      <c r="T43" s="195"/>
      <c r="U43" s="195"/>
      <c r="V43" s="195"/>
      <c r="W43" s="195"/>
      <c r="X43" s="195"/>
      <c r="Y43" s="195"/>
      <c r="Z43" s="195"/>
      <c r="AA43" s="195"/>
    </row>
    <row r="44" ht="20.25" customHeight="1">
      <c r="A44" s="192"/>
      <c r="B44" s="118"/>
      <c r="C44" s="119"/>
      <c r="D44" s="120"/>
      <c r="E44" s="119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93"/>
      <c r="S44" s="194"/>
      <c r="T44" s="195"/>
      <c r="U44" s="195"/>
      <c r="V44" s="195"/>
      <c r="W44" s="195"/>
      <c r="X44" s="195"/>
      <c r="Y44" s="195"/>
      <c r="Z44" s="195"/>
      <c r="AA44" s="195"/>
    </row>
    <row r="45" ht="20.25" customHeight="1">
      <c r="A45" s="192"/>
      <c r="B45" s="118"/>
      <c r="C45" s="119"/>
      <c r="D45" s="120"/>
      <c r="E45" s="119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93"/>
      <c r="S45" s="194"/>
      <c r="T45" s="195"/>
      <c r="U45" s="195"/>
      <c r="V45" s="195"/>
      <c r="W45" s="195"/>
      <c r="X45" s="195"/>
      <c r="Y45" s="195"/>
      <c r="Z45" s="195"/>
      <c r="AA45" s="195"/>
    </row>
    <row r="46" ht="20.25" customHeight="1">
      <c r="A46" s="192"/>
      <c r="B46" s="118"/>
      <c r="C46" s="119"/>
      <c r="D46" s="120"/>
      <c r="E46" s="119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93"/>
      <c r="S46" s="194"/>
      <c r="T46" s="195"/>
      <c r="U46" s="195"/>
      <c r="V46" s="195"/>
      <c r="W46" s="195"/>
      <c r="X46" s="195"/>
      <c r="Y46" s="195"/>
      <c r="Z46" s="195"/>
      <c r="AA46" s="195"/>
    </row>
    <row r="47" ht="20.25" customHeight="1">
      <c r="A47" s="192"/>
      <c r="B47" s="118"/>
      <c r="C47" s="119"/>
      <c r="D47" s="120"/>
      <c r="E47" s="119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93"/>
      <c r="S47" s="194"/>
      <c r="T47" s="195"/>
      <c r="U47" s="195"/>
      <c r="V47" s="195"/>
      <c r="W47" s="195"/>
      <c r="X47" s="195"/>
      <c r="Y47" s="195"/>
      <c r="Z47" s="195"/>
      <c r="AA47" s="195"/>
    </row>
    <row r="48" ht="20.25" customHeight="1">
      <c r="A48" s="192"/>
      <c r="B48" s="118"/>
      <c r="C48" s="119"/>
      <c r="D48" s="120"/>
      <c r="E48" s="119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93"/>
      <c r="S48" s="194"/>
      <c r="T48" s="195"/>
      <c r="U48" s="195"/>
      <c r="V48" s="195"/>
      <c r="W48" s="195"/>
      <c r="X48" s="195"/>
      <c r="Y48" s="195"/>
      <c r="Z48" s="195"/>
      <c r="AA48" s="195"/>
    </row>
    <row r="49" ht="20.25" customHeight="1">
      <c r="A49" s="192"/>
      <c r="B49" s="118"/>
      <c r="C49" s="119"/>
      <c r="D49" s="120"/>
      <c r="E49" s="119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93"/>
      <c r="S49" s="194"/>
      <c r="T49" s="195"/>
      <c r="U49" s="195"/>
      <c r="V49" s="195"/>
      <c r="W49" s="195"/>
      <c r="X49" s="195"/>
      <c r="Y49" s="195"/>
      <c r="Z49" s="195"/>
      <c r="AA49" s="195"/>
    </row>
    <row r="50" ht="20.25" customHeight="1">
      <c r="A50" s="192"/>
      <c r="B50" s="118"/>
      <c r="C50" s="119"/>
      <c r="D50" s="120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93"/>
      <c r="S50" s="194"/>
      <c r="T50" s="195"/>
      <c r="U50" s="195"/>
      <c r="V50" s="195"/>
      <c r="W50" s="195"/>
      <c r="X50" s="195"/>
      <c r="Y50" s="195"/>
      <c r="Z50" s="195"/>
      <c r="AA50" s="195"/>
    </row>
    <row r="51" ht="20.25" customHeight="1">
      <c r="A51" s="192"/>
      <c r="B51" s="118"/>
      <c r="C51" s="119"/>
      <c r="D51" s="120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93"/>
      <c r="S51" s="194"/>
      <c r="T51" s="195"/>
      <c r="U51" s="195"/>
      <c r="V51" s="195"/>
      <c r="W51" s="195"/>
      <c r="X51" s="195"/>
      <c r="Y51" s="195"/>
      <c r="Z51" s="195"/>
      <c r="AA51" s="195"/>
    </row>
    <row r="52" ht="20.25" customHeight="1">
      <c r="A52" s="192"/>
      <c r="B52" s="118"/>
      <c r="C52" s="119"/>
      <c r="D52" s="120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93"/>
      <c r="S52" s="194"/>
      <c r="T52" s="195"/>
      <c r="U52" s="195"/>
      <c r="V52" s="195"/>
      <c r="W52" s="195"/>
      <c r="X52" s="195"/>
      <c r="Y52" s="195"/>
      <c r="Z52" s="195"/>
      <c r="AA52" s="195"/>
    </row>
    <row r="53" ht="20.25" customHeight="1">
      <c r="A53" s="192"/>
      <c r="B53" s="118"/>
      <c r="C53" s="119"/>
      <c r="D53" s="120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93"/>
      <c r="S53" s="194"/>
      <c r="T53" s="195"/>
      <c r="U53" s="195"/>
      <c r="V53" s="195"/>
      <c r="W53" s="195"/>
      <c r="X53" s="195"/>
      <c r="Y53" s="195"/>
      <c r="Z53" s="195"/>
      <c r="AA53" s="195"/>
    </row>
    <row r="54" ht="20.25" customHeight="1">
      <c r="A54" s="19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93"/>
      <c r="S54" s="194"/>
      <c r="T54" s="195"/>
      <c r="U54" s="195"/>
      <c r="V54" s="195"/>
      <c r="W54" s="195"/>
      <c r="X54" s="195"/>
      <c r="Y54" s="195"/>
      <c r="Z54" s="195"/>
      <c r="AA54" s="195"/>
    </row>
    <row r="55" ht="20.25" customHeight="1">
      <c r="A55" s="19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93"/>
      <c r="S55" s="194"/>
      <c r="T55" s="195"/>
      <c r="U55" s="195"/>
      <c r="V55" s="195"/>
      <c r="W55" s="195"/>
      <c r="X55" s="195"/>
      <c r="Y55" s="195"/>
      <c r="Z55" s="195"/>
      <c r="AA55" s="195"/>
    </row>
    <row r="56" ht="20.25" customHeight="1">
      <c r="A56" s="19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93"/>
      <c r="S56" s="194"/>
      <c r="T56" s="195"/>
      <c r="U56" s="195"/>
      <c r="V56" s="195"/>
      <c r="W56" s="195"/>
      <c r="X56" s="195"/>
      <c r="Y56" s="195"/>
      <c r="Z56" s="195"/>
      <c r="AA56" s="195"/>
    </row>
    <row r="57" ht="20.25" customHeight="1">
      <c r="A57" s="19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93"/>
      <c r="S57" s="194"/>
      <c r="T57" s="195"/>
      <c r="U57" s="195"/>
      <c r="V57" s="195"/>
      <c r="W57" s="195"/>
      <c r="X57" s="195"/>
      <c r="Y57" s="195"/>
      <c r="Z57" s="195"/>
      <c r="AA57" s="195"/>
    </row>
    <row r="58" ht="20.25" customHeight="1">
      <c r="A58" s="19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93"/>
      <c r="S58" s="194"/>
      <c r="T58" s="195"/>
      <c r="U58" s="195"/>
      <c r="V58" s="195"/>
      <c r="W58" s="195"/>
      <c r="X58" s="195"/>
      <c r="Y58" s="195"/>
      <c r="Z58" s="195"/>
      <c r="AA58" s="195"/>
    </row>
    <row r="59" ht="20.25" customHeight="1">
      <c r="A59" s="19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93"/>
      <c r="S59" s="194"/>
      <c r="T59" s="195"/>
      <c r="U59" s="195"/>
      <c r="V59" s="195"/>
      <c r="W59" s="195"/>
      <c r="X59" s="195"/>
      <c r="Y59" s="195"/>
      <c r="Z59" s="195"/>
      <c r="AA59" s="195"/>
    </row>
    <row r="60" ht="20.25" customHeight="1">
      <c r="A60" s="19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93"/>
      <c r="S60" s="194"/>
      <c r="T60" s="195"/>
      <c r="U60" s="195"/>
      <c r="V60" s="195"/>
      <c r="W60" s="195"/>
      <c r="X60" s="195"/>
      <c r="Y60" s="195"/>
      <c r="Z60" s="195"/>
      <c r="AA60" s="195"/>
    </row>
    <row r="61" ht="20.25" customHeight="1">
      <c r="A61" s="19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93"/>
      <c r="S61" s="194"/>
      <c r="T61" s="195"/>
      <c r="U61" s="195"/>
      <c r="V61" s="195"/>
      <c r="W61" s="195"/>
      <c r="X61" s="195"/>
      <c r="Y61" s="195"/>
      <c r="Z61" s="195"/>
      <c r="AA61" s="195"/>
    </row>
    <row r="62" ht="20.25" customHeight="1">
      <c r="A62" s="19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93"/>
      <c r="S62" s="194"/>
      <c r="T62" s="195"/>
      <c r="U62" s="195"/>
      <c r="V62" s="195"/>
      <c r="W62" s="195"/>
      <c r="X62" s="195"/>
      <c r="Y62" s="195"/>
      <c r="Z62" s="195"/>
      <c r="AA62" s="195"/>
    </row>
    <row r="63" ht="20.25" customHeight="1">
      <c r="A63" s="19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93"/>
      <c r="S63" s="194"/>
      <c r="T63" s="195"/>
      <c r="U63" s="195"/>
      <c r="V63" s="195"/>
      <c r="W63" s="195"/>
      <c r="X63" s="195"/>
      <c r="Y63" s="195"/>
      <c r="Z63" s="195"/>
      <c r="AA63" s="195"/>
    </row>
    <row r="64" ht="20.25" customHeight="1">
      <c r="A64" s="19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93"/>
      <c r="S64" s="194"/>
      <c r="T64" s="195"/>
      <c r="U64" s="195"/>
      <c r="V64" s="195"/>
      <c r="W64" s="195"/>
      <c r="X64" s="195"/>
      <c r="Y64" s="195"/>
      <c r="Z64" s="195"/>
      <c r="AA64" s="195"/>
    </row>
    <row r="65" ht="20.25" customHeight="1">
      <c r="A65" s="19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93"/>
      <c r="S65" s="194"/>
      <c r="T65" s="195"/>
      <c r="U65" s="195"/>
      <c r="V65" s="195"/>
      <c r="W65" s="195"/>
      <c r="X65" s="195"/>
      <c r="Y65" s="195"/>
      <c r="Z65" s="195"/>
      <c r="AA65" s="195"/>
    </row>
    <row r="66" ht="20.25" customHeight="1">
      <c r="A66" s="19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93"/>
      <c r="S66" s="194"/>
      <c r="T66" s="195"/>
      <c r="U66" s="195"/>
      <c r="V66" s="195"/>
      <c r="W66" s="195"/>
      <c r="X66" s="195"/>
      <c r="Y66" s="195"/>
      <c r="Z66" s="195"/>
      <c r="AA66" s="195"/>
    </row>
    <row r="67" ht="20.25" customHeight="1">
      <c r="A67" s="19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93"/>
      <c r="S67" s="194"/>
      <c r="T67" s="195"/>
      <c r="U67" s="195"/>
      <c r="V67" s="195"/>
      <c r="W67" s="195"/>
      <c r="X67" s="195"/>
      <c r="Y67" s="195"/>
      <c r="Z67" s="195"/>
      <c r="AA67" s="195"/>
    </row>
    <row r="68" ht="20.25" customHeight="1">
      <c r="A68" s="19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93"/>
      <c r="S68" s="194"/>
      <c r="T68" s="195"/>
      <c r="U68" s="195"/>
      <c r="V68" s="195"/>
      <c r="W68" s="195"/>
      <c r="X68" s="195"/>
      <c r="Y68" s="195"/>
      <c r="Z68" s="195"/>
      <c r="AA68" s="195"/>
    </row>
    <row r="69" ht="20.25" customHeight="1">
      <c r="A69" s="19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93"/>
      <c r="S69" s="194"/>
      <c r="T69" s="195"/>
      <c r="U69" s="195"/>
      <c r="V69" s="195"/>
      <c r="W69" s="195"/>
      <c r="X69" s="195"/>
      <c r="Y69" s="195"/>
      <c r="Z69" s="195"/>
      <c r="AA69" s="195"/>
    </row>
    <row r="70" ht="20.25" customHeight="1">
      <c r="A70" s="19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93"/>
      <c r="S70" s="194"/>
      <c r="T70" s="195"/>
      <c r="U70" s="195"/>
      <c r="V70" s="195"/>
      <c r="W70" s="195"/>
      <c r="X70" s="195"/>
      <c r="Y70" s="195"/>
      <c r="Z70" s="195"/>
      <c r="AA70" s="195"/>
    </row>
    <row r="71" ht="20.25" customHeight="1">
      <c r="A71" s="19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93"/>
      <c r="S71" s="194"/>
      <c r="T71" s="195"/>
      <c r="U71" s="195"/>
      <c r="V71" s="195"/>
      <c r="W71" s="195"/>
      <c r="X71" s="195"/>
      <c r="Y71" s="195"/>
      <c r="Z71" s="195"/>
      <c r="AA71" s="195"/>
    </row>
    <row r="72" ht="20.25" customHeight="1">
      <c r="A72" s="19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93"/>
      <c r="S72" s="194"/>
      <c r="T72" s="195"/>
      <c r="U72" s="195"/>
      <c r="V72" s="195"/>
      <c r="W72" s="195"/>
      <c r="X72" s="195"/>
      <c r="Y72" s="195"/>
      <c r="Z72" s="195"/>
      <c r="AA72" s="195"/>
    </row>
    <row r="73" ht="20.25" customHeight="1">
      <c r="A73" s="19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93"/>
      <c r="S73" s="194"/>
      <c r="T73" s="195"/>
      <c r="U73" s="195"/>
      <c r="V73" s="195"/>
      <c r="W73" s="195"/>
      <c r="X73" s="195"/>
      <c r="Y73" s="195"/>
      <c r="Z73" s="195"/>
      <c r="AA73" s="195"/>
    </row>
    <row r="74" ht="20.25" customHeight="1">
      <c r="A74" s="19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93"/>
      <c r="S74" s="194"/>
      <c r="T74" s="195"/>
      <c r="U74" s="195"/>
      <c r="V74" s="195"/>
      <c r="W74" s="195"/>
      <c r="X74" s="195"/>
      <c r="Y74" s="195"/>
      <c r="Z74" s="195"/>
      <c r="AA74" s="195"/>
    </row>
    <row r="75" ht="20.25" customHeight="1">
      <c r="A75" s="19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93"/>
      <c r="S75" s="194"/>
      <c r="T75" s="195"/>
      <c r="U75" s="195"/>
      <c r="V75" s="195"/>
      <c r="W75" s="195"/>
      <c r="X75" s="195"/>
      <c r="Y75" s="195"/>
      <c r="Z75" s="195"/>
      <c r="AA75" s="195"/>
    </row>
    <row r="76" ht="20.25" customHeight="1">
      <c r="A76" s="19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93"/>
      <c r="S76" s="194"/>
      <c r="T76" s="195"/>
      <c r="U76" s="195"/>
      <c r="V76" s="195"/>
      <c r="W76" s="195"/>
      <c r="X76" s="195"/>
      <c r="Y76" s="195"/>
      <c r="Z76" s="195"/>
      <c r="AA76" s="195"/>
    </row>
    <row r="77" ht="20.25" customHeight="1">
      <c r="A77" s="19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93"/>
      <c r="S77" s="194"/>
      <c r="T77" s="195"/>
      <c r="U77" s="195"/>
      <c r="V77" s="195"/>
      <c r="W77" s="195"/>
      <c r="X77" s="195"/>
      <c r="Y77" s="195"/>
      <c r="Z77" s="195"/>
      <c r="AA77" s="195"/>
    </row>
    <row r="78" ht="20.25" customHeight="1">
      <c r="A78" s="19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93"/>
      <c r="S78" s="194"/>
      <c r="T78" s="195"/>
      <c r="U78" s="195"/>
      <c r="V78" s="195"/>
      <c r="W78" s="195"/>
      <c r="X78" s="195"/>
      <c r="Y78" s="195"/>
      <c r="Z78" s="195"/>
      <c r="AA78" s="195"/>
    </row>
    <row r="79" ht="20.25" customHeight="1">
      <c r="A79" s="19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93"/>
      <c r="S79" s="194"/>
      <c r="T79" s="195"/>
      <c r="U79" s="195"/>
      <c r="V79" s="195"/>
      <c r="W79" s="195"/>
      <c r="X79" s="195"/>
      <c r="Y79" s="195"/>
      <c r="Z79" s="195"/>
      <c r="AA79" s="195"/>
    </row>
    <row r="80" ht="20.25" customHeight="1">
      <c r="A80" s="19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93"/>
      <c r="S80" s="194"/>
      <c r="T80" s="195"/>
      <c r="U80" s="195"/>
      <c r="V80" s="195"/>
      <c r="W80" s="195"/>
      <c r="X80" s="195"/>
      <c r="Y80" s="195"/>
      <c r="Z80" s="195"/>
      <c r="AA80" s="19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E11:E80">
    <cfRule type="expression" dxfId="18" priority="1">
      <formula>$A11="INZIA IL TRATTAMENTO-VENDITA"</formula>
    </cfRule>
  </conditionalFormatting>
  <conditionalFormatting sqref="C11:C80 E11:E80 G11:G80">
    <cfRule type="expression" dxfId="10" priority="2">
      <formula>$A11="NESSUNA VENDITA"</formula>
    </cfRule>
  </conditionalFormatting>
  <conditionalFormatting sqref="A11:AA80">
    <cfRule type="expression" dxfId="8" priority="3">
      <formula>$A11="ATTESA DOCUMENTAZIONE"</formula>
    </cfRule>
  </conditionalFormatting>
  <conditionalFormatting sqref="A11:AA80">
    <cfRule type="expression" dxfId="9" priority="4">
      <formula>$A11="ATTESA OK ANESTESISTI"</formula>
    </cfRule>
  </conditionalFormatting>
  <conditionalFormatting sqref="A11:AA80">
    <cfRule type="expression" dxfId="11" priority="5">
      <formula>$A11="RICHIAMERA' / RICHIAMARE"</formula>
    </cfRule>
  </conditionalFormatting>
  <conditionalFormatting sqref="A11:AA80">
    <cfRule type="expression" dxfId="21" priority="6">
      <formula>$A11="INZIA IL TRATTAMENTO-VENDITA"</formula>
    </cfRule>
  </conditionalFormatting>
  <conditionalFormatting sqref="A11:AA80">
    <cfRule type="expression" dxfId="8" priority="7">
      <formula>$A11="APPUNTAMENTO PER INZIARE TRATTAMENTO=PAGAMENTO/DOCUMENTAZIONE"</formula>
    </cfRule>
  </conditionalFormatting>
  <conditionalFormatting sqref="A11:AA80">
    <cfRule type="expression" dxfId="13" priority="8">
      <formula>$A11="NESSUNA VENDITA"</formula>
    </cfRule>
  </conditionalFormatting>
  <conditionalFormatting sqref="P8">
    <cfRule type="notContainsBlanks" dxfId="17" priority="9">
      <formula>LEN(TRIM(P8))&gt;0</formula>
    </cfRule>
  </conditionalFormatting>
  <conditionalFormatting sqref="A11:AA80">
    <cfRule type="expression" dxfId="14" priority="10">
      <formula>$A11="PAZIENTE SANO"</formula>
    </cfRule>
  </conditionalFormatting>
  <conditionalFormatting sqref="A11:AA80">
    <cfRule type="expression" dxfId="9" priority="11">
      <formula>$A11="IN ATTESA OK ANESTESISTI MALGRATE"</formula>
    </cfRule>
  </conditionalFormatting>
  <conditionalFormatting sqref="A11:AA80">
    <cfRule type="expression" dxfId="15" priority="12">
      <formula>$A11="NON SI PRESENTA ALL'APPUNTAMENTO"</formula>
    </cfRule>
  </conditionalFormatting>
  <conditionalFormatting sqref="A11:AA80">
    <cfRule type="expression" dxfId="16" priority="13">
      <formula>$A11="CONSULTO COMMERCIALE/CLINICO"</formula>
    </cfRule>
  </conditionalFormatting>
  <dataValidations>
    <dataValidation type="list" allowBlank="1" showErrorMessage="1" sqref="C11:C80">
      <formula1>'Elenco Dip Sedi'!$D$5:$D$32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G11:G80">
      <formula1>'Elenco Dip Sedi'!$C$5:$C$32</formula1>
    </dataValidation>
    <dataValidation type="list" allowBlank="1" showErrorMessage="1" sqref="P11:P80">
      <formula1>'Elenco Dip Sedi'!$K$5:$K$32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E11:E80">
      <formula1>'Elenco Dip Sedi'!$N$5:$N$32</formula1>
    </dataValidation>
    <dataValidation type="list" allowBlank="1" showErrorMessage="1" sqref="F11:F80">
      <formula1>"M,F"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18.5"/>
    <col customWidth="1" min="4" max="4" width="28.25"/>
    <col customWidth="1" min="5" max="5" width="18.88"/>
    <col customWidth="1" min="6" max="6" width="8.13"/>
    <col customWidth="1" min="7" max="7" width="32.88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57"/>
      <c r="D1" s="156" t="s">
        <v>66</v>
      </c>
      <c r="E1" s="157" t="s">
        <v>67</v>
      </c>
      <c r="F1" s="53"/>
      <c r="G1" s="158" t="s">
        <v>103</v>
      </c>
      <c r="H1" s="159"/>
      <c r="I1" s="55"/>
      <c r="J1" s="56"/>
      <c r="L1" s="56"/>
      <c r="M1" s="57"/>
      <c r="N1" s="58"/>
      <c r="O1" s="59"/>
      <c r="P1" s="60"/>
      <c r="Q1" s="61"/>
    </row>
    <row r="2" ht="20.25" customHeight="1">
      <c r="D2" s="160"/>
      <c r="E2" s="160"/>
      <c r="F2" s="53"/>
      <c r="G2" s="161"/>
      <c r="H2" s="162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63"/>
      <c r="E3" s="164"/>
      <c r="F3" s="53"/>
      <c r="G3" s="57"/>
      <c r="H3" s="57"/>
      <c r="I3" s="70"/>
      <c r="J3" s="165"/>
      <c r="K3" s="165"/>
      <c r="L3" s="165"/>
      <c r="M3" s="166"/>
      <c r="N3" s="167"/>
      <c r="O3" s="72"/>
      <c r="P3" s="69"/>
      <c r="Q3" s="61"/>
    </row>
    <row r="4" ht="21.0" customHeight="1">
      <c r="D4" s="168"/>
      <c r="E4" s="169"/>
      <c r="F4" s="84"/>
      <c r="G4" s="84"/>
      <c r="H4" s="84"/>
      <c r="I4" s="170"/>
      <c r="J4" s="171"/>
      <c r="K4" s="171"/>
      <c r="L4" s="171"/>
      <c r="M4" s="78"/>
      <c r="N4" s="89"/>
      <c r="O4" s="172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73"/>
      <c r="E5" s="174"/>
      <c r="F5" s="175"/>
      <c r="G5" s="176"/>
      <c r="H5" s="177"/>
      <c r="I5" s="178"/>
      <c r="J5" s="179" t="s">
        <v>104</v>
      </c>
      <c r="L5" s="180"/>
      <c r="M5" s="181"/>
      <c r="N5" s="182"/>
      <c r="O5" s="183"/>
      <c r="P5" s="184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99"/>
      <c r="E6" s="77"/>
      <c r="F6" s="76"/>
      <c r="G6" s="77"/>
      <c r="H6" s="78"/>
      <c r="I6" s="80" t="s">
        <v>105</v>
      </c>
      <c r="L6" s="186">
        <f>SUMIF(A11:A140,"INZIA IL TRATTAMENTO-VENDITA", I11:I140)</f>
        <v>0</v>
      </c>
      <c r="M6" s="187"/>
      <c r="O6" s="82"/>
      <c r="P6" s="18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89" t="s">
        <v>106</v>
      </c>
      <c r="K7" s="78"/>
      <c r="L7" s="190">
        <f>L6+SUMIFS('OPPORTUNITA DI VENDITA'!J198:J513,'OPPORTUNITA DI VENDITA'!C198:C513, "&gt;=01/11/2026", 'OPPORTUNITA DI VENDITA'!C198:C513, "&lt;=30/11/2026",'OPPORTUNITA DI VENDITA'!B198:B513,"ESEGUITO")</f>
        <v>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236" t="s">
        <v>107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91"/>
      <c r="C10" s="191"/>
      <c r="D10" s="191"/>
      <c r="E10" s="191"/>
      <c r="F10" s="114"/>
      <c r="G10" s="191"/>
      <c r="H10" s="191"/>
      <c r="I10" s="191"/>
      <c r="J10" s="237"/>
      <c r="K10" s="237"/>
      <c r="L10" s="237"/>
      <c r="M10" s="237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0.25" customHeight="1">
      <c r="A11" s="192"/>
      <c r="B11" s="118"/>
      <c r="C11" s="119"/>
      <c r="D11" s="119"/>
      <c r="E11" s="119"/>
      <c r="F11" s="119"/>
      <c r="G11" s="119"/>
      <c r="H11" s="119"/>
      <c r="I11" s="235"/>
      <c r="J11" s="118"/>
      <c r="K11" s="46"/>
      <c r="L11" s="46"/>
      <c r="M11" s="46"/>
      <c r="N11" s="117"/>
      <c r="O11" s="119"/>
      <c r="P11" s="119"/>
      <c r="Q11" s="120"/>
      <c r="R11" s="193"/>
      <c r="S11" s="194"/>
      <c r="T11" s="195"/>
      <c r="U11" s="195"/>
      <c r="V11" s="195"/>
      <c r="W11" s="195"/>
      <c r="X11" s="195"/>
      <c r="Y11" s="195"/>
      <c r="Z11" s="195"/>
      <c r="AA11" s="195"/>
    </row>
    <row r="12" ht="20.25" customHeight="1">
      <c r="A12" s="192"/>
      <c r="B12" s="118"/>
      <c r="C12" s="119"/>
      <c r="D12" s="120"/>
      <c r="E12" s="119"/>
      <c r="F12" s="119"/>
      <c r="G12" s="119"/>
      <c r="H12" s="119"/>
      <c r="I12" s="117"/>
      <c r="J12" s="118"/>
      <c r="K12" s="46"/>
      <c r="L12" s="46"/>
      <c r="M12" s="46"/>
      <c r="N12" s="117"/>
      <c r="O12" s="119"/>
      <c r="P12" s="119"/>
      <c r="Q12" s="120"/>
      <c r="R12" s="193"/>
      <c r="S12" s="194"/>
      <c r="T12" s="195"/>
      <c r="U12" s="195"/>
      <c r="V12" s="195"/>
      <c r="W12" s="195"/>
      <c r="X12" s="195"/>
      <c r="Y12" s="195"/>
      <c r="Z12" s="195"/>
      <c r="AA12" s="195"/>
    </row>
    <row r="13" ht="20.25" customHeight="1">
      <c r="A13" s="192"/>
      <c r="B13" s="118"/>
      <c r="C13" s="119"/>
      <c r="D13" s="120"/>
      <c r="E13" s="119"/>
      <c r="F13" s="119"/>
      <c r="G13" s="119"/>
      <c r="H13" s="119"/>
      <c r="I13" s="117"/>
      <c r="J13" s="118"/>
      <c r="K13" s="46"/>
      <c r="L13" s="46"/>
      <c r="M13" s="46"/>
      <c r="N13" s="117"/>
      <c r="O13" s="119"/>
      <c r="P13" s="119"/>
      <c r="Q13" s="120"/>
      <c r="R13" s="193"/>
      <c r="S13" s="194"/>
      <c r="T13" s="195"/>
      <c r="U13" s="195"/>
      <c r="V13" s="195"/>
      <c r="W13" s="195"/>
      <c r="X13" s="195"/>
      <c r="Y13" s="195"/>
      <c r="Z13" s="195"/>
      <c r="AA13" s="195"/>
    </row>
    <row r="14" ht="20.25" customHeight="1">
      <c r="A14" s="192"/>
      <c r="B14" s="118"/>
      <c r="C14" s="119"/>
      <c r="D14" s="120"/>
      <c r="E14" s="119"/>
      <c r="F14" s="119"/>
      <c r="G14" s="119"/>
      <c r="H14" s="119"/>
      <c r="I14" s="117"/>
      <c r="J14" s="118"/>
      <c r="K14" s="46"/>
      <c r="L14" s="46"/>
      <c r="M14" s="46"/>
      <c r="N14" s="117"/>
      <c r="O14" s="119"/>
      <c r="P14" s="119"/>
      <c r="Q14" s="120"/>
      <c r="R14" s="193"/>
      <c r="S14" s="194"/>
      <c r="T14" s="195"/>
      <c r="U14" s="195"/>
      <c r="V14" s="195"/>
      <c r="W14" s="195"/>
      <c r="X14" s="195"/>
      <c r="Y14" s="195"/>
      <c r="Z14" s="195"/>
      <c r="AA14" s="195"/>
    </row>
    <row r="15" ht="20.25" customHeight="1">
      <c r="A15" s="192"/>
      <c r="B15" s="118"/>
      <c r="C15" s="119"/>
      <c r="D15" s="120"/>
      <c r="E15" s="119"/>
      <c r="F15" s="119"/>
      <c r="G15" s="119"/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93"/>
      <c r="S15" s="194"/>
      <c r="T15" s="195"/>
      <c r="U15" s="195"/>
      <c r="V15" s="195"/>
      <c r="W15" s="195"/>
      <c r="X15" s="195"/>
      <c r="Y15" s="195"/>
      <c r="Z15" s="195"/>
      <c r="AA15" s="195"/>
    </row>
    <row r="16" ht="20.25" customHeight="1">
      <c r="A16" s="192"/>
      <c r="B16" s="118"/>
      <c r="C16" s="119"/>
      <c r="D16" s="120"/>
      <c r="E16" s="119"/>
      <c r="F16" s="119"/>
      <c r="G16" s="119"/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93"/>
      <c r="S16" s="194"/>
      <c r="T16" s="195"/>
      <c r="U16" s="195"/>
      <c r="V16" s="195"/>
      <c r="W16" s="195"/>
      <c r="X16" s="195"/>
      <c r="Y16" s="195"/>
      <c r="Z16" s="195"/>
      <c r="AA16" s="195"/>
    </row>
    <row r="17" ht="20.25" customHeight="1">
      <c r="A17" s="192"/>
      <c r="B17" s="118"/>
      <c r="C17" s="119"/>
      <c r="D17" s="120"/>
      <c r="E17" s="119"/>
      <c r="F17" s="119"/>
      <c r="G17" s="119"/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93"/>
      <c r="S17" s="194"/>
      <c r="T17" s="195"/>
      <c r="U17" s="195"/>
      <c r="V17" s="195"/>
      <c r="W17" s="195"/>
      <c r="X17" s="195"/>
      <c r="Y17" s="195"/>
      <c r="Z17" s="195"/>
      <c r="AA17" s="195"/>
    </row>
    <row r="18" ht="20.25" customHeight="1">
      <c r="A18" s="192"/>
      <c r="B18" s="118"/>
      <c r="C18" s="119"/>
      <c r="D18" s="120"/>
      <c r="E18" s="119"/>
      <c r="F18" s="119"/>
      <c r="G18" s="119"/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93"/>
      <c r="S18" s="194"/>
      <c r="T18" s="195"/>
      <c r="U18" s="195"/>
      <c r="V18" s="195"/>
      <c r="W18" s="195"/>
      <c r="X18" s="195"/>
      <c r="Y18" s="195"/>
      <c r="Z18" s="195"/>
      <c r="AA18" s="195"/>
    </row>
    <row r="19" ht="20.25" customHeight="1">
      <c r="A19" s="192"/>
      <c r="B19" s="118"/>
      <c r="C19" s="119"/>
      <c r="D19" s="120"/>
      <c r="E19" s="119"/>
      <c r="F19" s="119"/>
      <c r="G19" s="119"/>
      <c r="H19" s="119"/>
      <c r="I19" s="117"/>
      <c r="J19" s="118"/>
      <c r="K19" s="46"/>
      <c r="L19" s="46"/>
      <c r="M19" s="46"/>
      <c r="N19" s="117"/>
      <c r="O19" s="119"/>
      <c r="P19" s="119"/>
      <c r="Q19" s="120"/>
      <c r="R19" s="193"/>
      <c r="S19" s="194"/>
      <c r="T19" s="195"/>
      <c r="U19" s="195"/>
      <c r="V19" s="195"/>
      <c r="W19" s="195"/>
      <c r="X19" s="195"/>
      <c r="Y19" s="195"/>
      <c r="Z19" s="195"/>
      <c r="AA19" s="195"/>
    </row>
    <row r="20" ht="20.25" customHeight="1">
      <c r="A20" s="192"/>
      <c r="B20" s="118"/>
      <c r="C20" s="119"/>
      <c r="D20" s="120"/>
      <c r="E20" s="119"/>
      <c r="F20" s="119"/>
      <c r="G20" s="119"/>
      <c r="H20" s="119"/>
      <c r="I20" s="117"/>
      <c r="J20" s="118"/>
      <c r="K20" s="46"/>
      <c r="L20" s="46"/>
      <c r="M20" s="46"/>
      <c r="N20" s="117"/>
      <c r="O20" s="119"/>
      <c r="P20" s="119"/>
      <c r="Q20" s="120"/>
      <c r="R20" s="193"/>
      <c r="S20" s="194"/>
      <c r="T20" s="195"/>
      <c r="U20" s="195"/>
      <c r="V20" s="195"/>
      <c r="W20" s="195"/>
      <c r="X20" s="195"/>
      <c r="Y20" s="195"/>
      <c r="Z20" s="195"/>
      <c r="AA20" s="195"/>
    </row>
    <row r="21" ht="20.25" customHeight="1">
      <c r="A21" s="192"/>
      <c r="B21" s="118"/>
      <c r="C21" s="119"/>
      <c r="D21" s="120"/>
      <c r="E21" s="119"/>
      <c r="F21" s="119"/>
      <c r="G21" s="119"/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193"/>
      <c r="S21" s="194"/>
      <c r="T21" s="195"/>
      <c r="U21" s="195"/>
      <c r="V21" s="195"/>
      <c r="W21" s="195"/>
      <c r="X21" s="195"/>
      <c r="Y21" s="195"/>
      <c r="Z21" s="195"/>
      <c r="AA21" s="195"/>
    </row>
    <row r="22" ht="20.25" customHeight="1">
      <c r="A22" s="192"/>
      <c r="B22" s="118"/>
      <c r="C22" s="119"/>
      <c r="D22" s="120"/>
      <c r="E22" s="119"/>
      <c r="F22" s="119"/>
      <c r="G22" s="119"/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93"/>
      <c r="S22" s="194"/>
      <c r="T22" s="195"/>
      <c r="U22" s="195"/>
      <c r="V22" s="195"/>
      <c r="W22" s="195"/>
      <c r="X22" s="195"/>
      <c r="Y22" s="195"/>
      <c r="Z22" s="195"/>
      <c r="AA22" s="195"/>
    </row>
    <row r="23" ht="20.25" customHeight="1">
      <c r="A23" s="192"/>
      <c r="B23" s="118"/>
      <c r="C23" s="119"/>
      <c r="D23" s="120"/>
      <c r="E23" s="119"/>
      <c r="F23" s="119"/>
      <c r="G23" s="119"/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93"/>
      <c r="S23" s="194"/>
      <c r="T23" s="195"/>
      <c r="U23" s="195"/>
      <c r="V23" s="195"/>
      <c r="W23" s="195"/>
      <c r="X23" s="195"/>
      <c r="Y23" s="195"/>
      <c r="Z23" s="195"/>
      <c r="AA23" s="195"/>
    </row>
    <row r="24" ht="20.25" customHeight="1">
      <c r="A24" s="192"/>
      <c r="B24" s="118"/>
      <c r="C24" s="119"/>
      <c r="D24" s="120"/>
      <c r="E24" s="119"/>
      <c r="F24" s="119"/>
      <c r="G24" s="119"/>
      <c r="H24" s="119"/>
      <c r="I24" s="117"/>
      <c r="J24" s="118"/>
      <c r="K24" s="46"/>
      <c r="L24" s="46"/>
      <c r="M24" s="46"/>
      <c r="N24" s="117"/>
      <c r="O24" s="119"/>
      <c r="P24" s="119"/>
      <c r="Q24" s="120"/>
      <c r="R24" s="193"/>
      <c r="S24" s="194"/>
      <c r="T24" s="195"/>
      <c r="U24" s="195"/>
      <c r="V24" s="195"/>
      <c r="W24" s="195"/>
      <c r="X24" s="195"/>
      <c r="Y24" s="195"/>
      <c r="Z24" s="195"/>
      <c r="AA24" s="195"/>
    </row>
    <row r="25" ht="20.25" customHeight="1">
      <c r="A25" s="192"/>
      <c r="B25" s="118"/>
      <c r="C25" s="119"/>
      <c r="D25" s="120"/>
      <c r="E25" s="119"/>
      <c r="F25" s="119"/>
      <c r="G25" s="119"/>
      <c r="H25" s="119"/>
      <c r="I25" s="117"/>
      <c r="J25" s="118"/>
      <c r="K25" s="46"/>
      <c r="L25" s="46"/>
      <c r="M25" s="46"/>
      <c r="N25" s="117"/>
      <c r="O25" s="119"/>
      <c r="P25" s="119"/>
      <c r="Q25" s="120"/>
      <c r="R25" s="193"/>
      <c r="S25" s="194"/>
      <c r="T25" s="195"/>
      <c r="U25" s="195"/>
      <c r="V25" s="195"/>
      <c r="W25" s="195"/>
      <c r="X25" s="195"/>
      <c r="Y25" s="195"/>
      <c r="Z25" s="195"/>
      <c r="AA25" s="195"/>
    </row>
    <row r="26" ht="20.25" customHeight="1">
      <c r="A26" s="192"/>
      <c r="B26" s="118"/>
      <c r="C26" s="119"/>
      <c r="D26" s="120"/>
      <c r="E26" s="119"/>
      <c r="F26" s="119"/>
      <c r="G26" s="119"/>
      <c r="H26" s="119"/>
      <c r="I26" s="117"/>
      <c r="J26" s="118"/>
      <c r="K26" s="46"/>
      <c r="L26" s="46"/>
      <c r="M26" s="46"/>
      <c r="N26" s="117"/>
      <c r="O26" s="119"/>
      <c r="P26" s="119"/>
      <c r="Q26" s="120"/>
      <c r="R26" s="193"/>
      <c r="S26" s="194"/>
      <c r="T26" s="195"/>
      <c r="U26" s="195"/>
      <c r="V26" s="195"/>
      <c r="W26" s="195"/>
      <c r="X26" s="195"/>
      <c r="Y26" s="195"/>
      <c r="Z26" s="195"/>
      <c r="AA26" s="195"/>
    </row>
    <row r="27" ht="20.25" customHeight="1">
      <c r="A27" s="192"/>
      <c r="B27" s="118"/>
      <c r="C27" s="119"/>
      <c r="D27" s="120"/>
      <c r="E27" s="119"/>
      <c r="F27" s="119"/>
      <c r="G27" s="119"/>
      <c r="H27" s="119"/>
      <c r="I27" s="117"/>
      <c r="J27" s="118"/>
      <c r="K27" s="46"/>
      <c r="L27" s="46"/>
      <c r="M27" s="46"/>
      <c r="N27" s="117"/>
      <c r="O27" s="119"/>
      <c r="P27" s="119"/>
      <c r="Q27" s="120"/>
      <c r="R27" s="193"/>
      <c r="S27" s="194"/>
      <c r="T27" s="195"/>
      <c r="U27" s="195"/>
      <c r="V27" s="195"/>
      <c r="W27" s="195"/>
      <c r="X27" s="195"/>
      <c r="Y27" s="195"/>
      <c r="Z27" s="195"/>
      <c r="AA27" s="195"/>
    </row>
    <row r="28" ht="20.25" customHeight="1">
      <c r="A28" s="192"/>
      <c r="B28" s="118"/>
      <c r="C28" s="119"/>
      <c r="D28" s="120"/>
      <c r="E28" s="119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93"/>
      <c r="S28" s="194"/>
      <c r="T28" s="195"/>
      <c r="U28" s="195"/>
      <c r="V28" s="195"/>
      <c r="W28" s="195"/>
      <c r="X28" s="195"/>
      <c r="Y28" s="195"/>
      <c r="Z28" s="195"/>
      <c r="AA28" s="195"/>
    </row>
    <row r="29" ht="20.25" customHeight="1">
      <c r="A29" s="192"/>
      <c r="B29" s="118"/>
      <c r="C29" s="119"/>
      <c r="D29" s="120"/>
      <c r="E29" s="119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93"/>
      <c r="S29" s="194"/>
      <c r="T29" s="195"/>
      <c r="U29" s="195"/>
      <c r="V29" s="195"/>
      <c r="W29" s="195"/>
      <c r="X29" s="195"/>
      <c r="Y29" s="195"/>
      <c r="Z29" s="195"/>
      <c r="AA29" s="195"/>
    </row>
    <row r="30" ht="20.25" customHeight="1">
      <c r="A30" s="192"/>
      <c r="B30" s="118"/>
      <c r="C30" s="119"/>
      <c r="D30" s="120"/>
      <c r="E30" s="119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93"/>
      <c r="S30" s="194"/>
      <c r="T30" s="195"/>
      <c r="U30" s="195"/>
      <c r="V30" s="195"/>
      <c r="W30" s="195"/>
      <c r="X30" s="195"/>
      <c r="Y30" s="195"/>
      <c r="Z30" s="195"/>
      <c r="AA30" s="195"/>
    </row>
    <row r="31" ht="20.25" customHeight="1">
      <c r="A31" s="192"/>
      <c r="B31" s="118"/>
      <c r="C31" s="119"/>
      <c r="D31" s="120"/>
      <c r="E31" s="119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93"/>
      <c r="S31" s="194"/>
      <c r="T31" s="195"/>
      <c r="U31" s="195"/>
      <c r="V31" s="195"/>
      <c r="W31" s="195"/>
      <c r="X31" s="195"/>
      <c r="Y31" s="195"/>
      <c r="Z31" s="195"/>
      <c r="AA31" s="195"/>
    </row>
    <row r="32" ht="20.25" customHeight="1">
      <c r="A32" s="192"/>
      <c r="B32" s="118"/>
      <c r="C32" s="119"/>
      <c r="D32" s="120"/>
      <c r="E32" s="119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93"/>
      <c r="S32" s="194"/>
      <c r="T32" s="195"/>
      <c r="U32" s="195"/>
      <c r="V32" s="195"/>
      <c r="W32" s="195"/>
      <c r="X32" s="195"/>
      <c r="Y32" s="195"/>
      <c r="Z32" s="195"/>
      <c r="AA32" s="195"/>
    </row>
    <row r="33" ht="20.25" customHeight="1">
      <c r="A33" s="192"/>
      <c r="B33" s="118"/>
      <c r="C33" s="119"/>
      <c r="D33" s="120"/>
      <c r="E33" s="119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93"/>
      <c r="S33" s="194"/>
      <c r="T33" s="195"/>
      <c r="U33" s="195"/>
      <c r="V33" s="195"/>
      <c r="W33" s="195"/>
      <c r="X33" s="195"/>
      <c r="Y33" s="195"/>
      <c r="Z33" s="195"/>
      <c r="AA33" s="195"/>
    </row>
    <row r="34" ht="20.25" customHeight="1">
      <c r="A34" s="192"/>
      <c r="B34" s="118"/>
      <c r="C34" s="119"/>
      <c r="D34" s="120"/>
      <c r="E34" s="119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93"/>
      <c r="S34" s="194"/>
      <c r="T34" s="195"/>
      <c r="U34" s="195"/>
      <c r="V34" s="195"/>
      <c r="W34" s="195"/>
      <c r="X34" s="195"/>
      <c r="Y34" s="195"/>
      <c r="Z34" s="195"/>
      <c r="AA34" s="195"/>
    </row>
    <row r="35" ht="20.25" customHeight="1">
      <c r="A35" s="192"/>
      <c r="B35" s="118"/>
      <c r="C35" s="119"/>
      <c r="D35" s="120"/>
      <c r="E35" s="119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93"/>
      <c r="S35" s="194"/>
      <c r="T35" s="195"/>
      <c r="U35" s="195"/>
      <c r="V35" s="195"/>
      <c r="W35" s="195"/>
      <c r="X35" s="195"/>
      <c r="Y35" s="195"/>
      <c r="Z35" s="195"/>
      <c r="AA35" s="195"/>
    </row>
    <row r="36" ht="20.25" customHeight="1">
      <c r="A36" s="192"/>
      <c r="B36" s="118"/>
      <c r="C36" s="119"/>
      <c r="D36" s="120"/>
      <c r="E36" s="119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93"/>
      <c r="S36" s="194"/>
      <c r="T36" s="195"/>
      <c r="U36" s="195"/>
      <c r="V36" s="195"/>
      <c r="W36" s="195"/>
      <c r="X36" s="195"/>
      <c r="Y36" s="195"/>
      <c r="Z36" s="195"/>
      <c r="AA36" s="195"/>
    </row>
    <row r="37" ht="20.25" customHeight="1">
      <c r="A37" s="192"/>
      <c r="B37" s="118"/>
      <c r="C37" s="119"/>
      <c r="D37" s="120"/>
      <c r="E37" s="119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93"/>
      <c r="S37" s="194"/>
      <c r="T37" s="195"/>
      <c r="U37" s="195"/>
      <c r="V37" s="195"/>
      <c r="W37" s="195"/>
      <c r="X37" s="195"/>
      <c r="Y37" s="195"/>
      <c r="Z37" s="195"/>
      <c r="AA37" s="195"/>
    </row>
    <row r="38" ht="20.25" customHeight="1">
      <c r="A38" s="192"/>
      <c r="B38" s="118"/>
      <c r="C38" s="119"/>
      <c r="D38" s="120"/>
      <c r="E38" s="119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93"/>
      <c r="S38" s="194"/>
      <c r="T38" s="195"/>
      <c r="U38" s="195"/>
      <c r="V38" s="195"/>
      <c r="W38" s="195"/>
      <c r="X38" s="195"/>
      <c r="Y38" s="195"/>
      <c r="Z38" s="195"/>
      <c r="AA38" s="195"/>
    </row>
    <row r="39" ht="20.25" customHeight="1">
      <c r="A39" s="192"/>
      <c r="B39" s="118"/>
      <c r="C39" s="119"/>
      <c r="D39" s="120"/>
      <c r="E39" s="119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93"/>
      <c r="S39" s="194"/>
      <c r="T39" s="195"/>
      <c r="U39" s="195"/>
      <c r="V39" s="195"/>
      <c r="W39" s="195"/>
      <c r="X39" s="195"/>
      <c r="Y39" s="195"/>
      <c r="Z39" s="195"/>
      <c r="AA39" s="195"/>
    </row>
    <row r="40" ht="20.25" customHeight="1">
      <c r="A40" s="192"/>
      <c r="B40" s="118"/>
      <c r="C40" s="119"/>
      <c r="D40" s="120"/>
      <c r="E40" s="119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93"/>
      <c r="S40" s="194"/>
      <c r="T40" s="195"/>
      <c r="U40" s="195"/>
      <c r="V40" s="195"/>
      <c r="W40" s="195"/>
      <c r="X40" s="195"/>
      <c r="Y40" s="195"/>
      <c r="Z40" s="195"/>
      <c r="AA40" s="195"/>
    </row>
    <row r="41" ht="20.25" customHeight="1">
      <c r="A41" s="192"/>
      <c r="B41" s="118"/>
      <c r="C41" s="119"/>
      <c r="D41" s="120"/>
      <c r="E41" s="119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93"/>
      <c r="S41" s="194"/>
      <c r="T41" s="195"/>
      <c r="U41" s="195"/>
      <c r="V41" s="195"/>
      <c r="W41" s="195"/>
      <c r="X41" s="195"/>
      <c r="Y41" s="195"/>
      <c r="Z41" s="195"/>
      <c r="AA41" s="195"/>
    </row>
    <row r="42" ht="20.25" customHeight="1">
      <c r="A42" s="192"/>
      <c r="B42" s="118"/>
      <c r="C42" s="119"/>
      <c r="D42" s="120"/>
      <c r="E42" s="119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93"/>
      <c r="S42" s="194"/>
      <c r="T42" s="195"/>
      <c r="U42" s="195"/>
      <c r="V42" s="195"/>
      <c r="W42" s="195"/>
      <c r="X42" s="195"/>
      <c r="Y42" s="195"/>
      <c r="Z42" s="195"/>
      <c r="AA42" s="195"/>
    </row>
    <row r="43" ht="20.25" customHeight="1">
      <c r="A43" s="192"/>
      <c r="B43" s="118"/>
      <c r="C43" s="119"/>
      <c r="D43" s="120"/>
      <c r="E43" s="119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93"/>
      <c r="S43" s="194"/>
      <c r="T43" s="195"/>
      <c r="U43" s="195"/>
      <c r="V43" s="195"/>
      <c r="W43" s="195"/>
      <c r="X43" s="195"/>
      <c r="Y43" s="195"/>
      <c r="Z43" s="195"/>
      <c r="AA43" s="195"/>
    </row>
    <row r="44" ht="20.25" customHeight="1">
      <c r="A44" s="192"/>
      <c r="B44" s="118"/>
      <c r="C44" s="119"/>
      <c r="D44" s="120"/>
      <c r="E44" s="119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93"/>
      <c r="S44" s="194"/>
      <c r="T44" s="195"/>
      <c r="U44" s="195"/>
      <c r="V44" s="195"/>
      <c r="W44" s="195"/>
      <c r="X44" s="195"/>
      <c r="Y44" s="195"/>
      <c r="Z44" s="195"/>
      <c r="AA44" s="195"/>
    </row>
    <row r="45" ht="20.25" customHeight="1">
      <c r="A45" s="192"/>
      <c r="B45" s="118"/>
      <c r="C45" s="119"/>
      <c r="D45" s="120"/>
      <c r="E45" s="119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93"/>
      <c r="S45" s="194"/>
      <c r="T45" s="195"/>
      <c r="U45" s="195"/>
      <c r="V45" s="195"/>
      <c r="W45" s="195"/>
      <c r="X45" s="195"/>
      <c r="Y45" s="195"/>
      <c r="Z45" s="195"/>
      <c r="AA45" s="195"/>
    </row>
    <row r="46" ht="20.25" customHeight="1">
      <c r="A46" s="192"/>
      <c r="B46" s="118"/>
      <c r="C46" s="119"/>
      <c r="D46" s="120"/>
      <c r="E46" s="119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93"/>
      <c r="S46" s="194"/>
      <c r="T46" s="195"/>
      <c r="U46" s="195"/>
      <c r="V46" s="195"/>
      <c r="W46" s="195"/>
      <c r="X46" s="195"/>
      <c r="Y46" s="195"/>
      <c r="Z46" s="195"/>
      <c r="AA46" s="195"/>
    </row>
    <row r="47" ht="20.25" customHeight="1">
      <c r="A47" s="192"/>
      <c r="B47" s="118"/>
      <c r="C47" s="119"/>
      <c r="D47" s="120"/>
      <c r="E47" s="119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93"/>
      <c r="S47" s="194"/>
      <c r="T47" s="195"/>
      <c r="U47" s="195"/>
      <c r="V47" s="195"/>
      <c r="W47" s="195"/>
      <c r="X47" s="195"/>
      <c r="Y47" s="195"/>
      <c r="Z47" s="195"/>
      <c r="AA47" s="195"/>
    </row>
    <row r="48" ht="20.25" customHeight="1">
      <c r="A48" s="192"/>
      <c r="B48" s="118"/>
      <c r="C48" s="119"/>
      <c r="D48" s="120"/>
      <c r="E48" s="119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93"/>
      <c r="S48" s="194"/>
      <c r="T48" s="195"/>
      <c r="U48" s="195"/>
      <c r="V48" s="195"/>
      <c r="W48" s="195"/>
      <c r="X48" s="195"/>
      <c r="Y48" s="195"/>
      <c r="Z48" s="195"/>
      <c r="AA48" s="195"/>
    </row>
    <row r="49" ht="20.25" customHeight="1">
      <c r="A49" s="192"/>
      <c r="B49" s="118"/>
      <c r="C49" s="119"/>
      <c r="D49" s="120"/>
      <c r="E49" s="119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93"/>
      <c r="S49" s="194"/>
      <c r="T49" s="195"/>
      <c r="U49" s="195"/>
      <c r="V49" s="195"/>
      <c r="W49" s="195"/>
      <c r="X49" s="195"/>
      <c r="Y49" s="195"/>
      <c r="Z49" s="195"/>
      <c r="AA49" s="195"/>
    </row>
    <row r="50" ht="20.25" customHeight="1">
      <c r="A50" s="192"/>
      <c r="B50" s="118"/>
      <c r="C50" s="119"/>
      <c r="D50" s="120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93"/>
      <c r="S50" s="194"/>
      <c r="T50" s="195"/>
      <c r="U50" s="195"/>
      <c r="V50" s="195"/>
      <c r="W50" s="195"/>
      <c r="X50" s="195"/>
      <c r="Y50" s="195"/>
      <c r="Z50" s="195"/>
      <c r="AA50" s="195"/>
    </row>
    <row r="51" ht="20.25" customHeight="1">
      <c r="A51" s="192"/>
      <c r="B51" s="118"/>
      <c r="C51" s="119"/>
      <c r="D51" s="120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93"/>
      <c r="S51" s="194"/>
      <c r="T51" s="195"/>
      <c r="U51" s="195"/>
      <c r="V51" s="195"/>
      <c r="W51" s="195"/>
      <c r="X51" s="195"/>
      <c r="Y51" s="195"/>
      <c r="Z51" s="195"/>
      <c r="AA51" s="195"/>
    </row>
    <row r="52" ht="20.25" customHeight="1">
      <c r="A52" s="192"/>
      <c r="B52" s="118"/>
      <c r="C52" s="119"/>
      <c r="D52" s="120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93"/>
      <c r="S52" s="194"/>
      <c r="T52" s="195"/>
      <c r="U52" s="195"/>
      <c r="V52" s="195"/>
      <c r="W52" s="195"/>
      <c r="X52" s="195"/>
      <c r="Y52" s="195"/>
      <c r="Z52" s="195"/>
      <c r="AA52" s="195"/>
    </row>
    <row r="53" ht="20.25" customHeight="1">
      <c r="A53" s="192"/>
      <c r="B53" s="118"/>
      <c r="C53" s="119"/>
      <c r="D53" s="120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93"/>
      <c r="S53" s="194"/>
      <c r="T53" s="195"/>
      <c r="U53" s="195"/>
      <c r="V53" s="195"/>
      <c r="W53" s="195"/>
      <c r="X53" s="195"/>
      <c r="Y53" s="195"/>
      <c r="Z53" s="195"/>
      <c r="AA53" s="195"/>
    </row>
    <row r="54" ht="20.25" customHeight="1">
      <c r="A54" s="19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93"/>
      <c r="S54" s="194"/>
      <c r="T54" s="195"/>
      <c r="U54" s="195"/>
      <c r="V54" s="195"/>
      <c r="W54" s="195"/>
      <c r="X54" s="195"/>
      <c r="Y54" s="195"/>
      <c r="Z54" s="195"/>
      <c r="AA54" s="195"/>
    </row>
    <row r="55" ht="20.25" customHeight="1">
      <c r="A55" s="19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93"/>
      <c r="S55" s="194"/>
      <c r="T55" s="195"/>
      <c r="U55" s="195"/>
      <c r="V55" s="195"/>
      <c r="W55" s="195"/>
      <c r="X55" s="195"/>
      <c r="Y55" s="195"/>
      <c r="Z55" s="195"/>
      <c r="AA55" s="195"/>
    </row>
    <row r="56" ht="20.25" customHeight="1">
      <c r="A56" s="19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93"/>
      <c r="S56" s="194"/>
      <c r="T56" s="195"/>
      <c r="U56" s="195"/>
      <c r="V56" s="195"/>
      <c r="W56" s="195"/>
      <c r="X56" s="195"/>
      <c r="Y56" s="195"/>
      <c r="Z56" s="195"/>
      <c r="AA56" s="195"/>
    </row>
    <row r="57" ht="20.25" customHeight="1">
      <c r="A57" s="19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93"/>
      <c r="S57" s="194"/>
      <c r="T57" s="195"/>
      <c r="U57" s="195"/>
      <c r="V57" s="195"/>
      <c r="W57" s="195"/>
      <c r="X57" s="195"/>
      <c r="Y57" s="195"/>
      <c r="Z57" s="195"/>
      <c r="AA57" s="195"/>
    </row>
    <row r="58" ht="20.25" customHeight="1">
      <c r="A58" s="19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93"/>
      <c r="S58" s="194"/>
      <c r="T58" s="195"/>
      <c r="U58" s="195"/>
      <c r="V58" s="195"/>
      <c r="W58" s="195"/>
      <c r="X58" s="195"/>
      <c r="Y58" s="195"/>
      <c r="Z58" s="195"/>
      <c r="AA58" s="195"/>
    </row>
    <row r="59" ht="20.25" customHeight="1">
      <c r="A59" s="19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93"/>
      <c r="S59" s="194"/>
      <c r="T59" s="195"/>
      <c r="U59" s="195"/>
      <c r="V59" s="195"/>
      <c r="W59" s="195"/>
      <c r="X59" s="195"/>
      <c r="Y59" s="195"/>
      <c r="Z59" s="195"/>
      <c r="AA59" s="195"/>
    </row>
    <row r="60" ht="20.25" customHeight="1">
      <c r="A60" s="19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93"/>
      <c r="S60" s="194"/>
      <c r="T60" s="195"/>
      <c r="U60" s="195"/>
      <c r="V60" s="195"/>
      <c r="W60" s="195"/>
      <c r="X60" s="195"/>
      <c r="Y60" s="195"/>
      <c r="Z60" s="195"/>
      <c r="AA60" s="195"/>
    </row>
    <row r="61" ht="20.25" customHeight="1">
      <c r="A61" s="19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93"/>
      <c r="S61" s="194"/>
      <c r="T61" s="195"/>
      <c r="U61" s="195"/>
      <c r="V61" s="195"/>
      <c r="W61" s="195"/>
      <c r="X61" s="195"/>
      <c r="Y61" s="195"/>
      <c r="Z61" s="195"/>
      <c r="AA61" s="195"/>
    </row>
    <row r="62" ht="20.25" customHeight="1">
      <c r="A62" s="19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93"/>
      <c r="S62" s="194"/>
      <c r="T62" s="195"/>
      <c r="U62" s="195"/>
      <c r="V62" s="195"/>
      <c r="W62" s="195"/>
      <c r="X62" s="195"/>
      <c r="Y62" s="195"/>
      <c r="Z62" s="195"/>
      <c r="AA62" s="195"/>
    </row>
    <row r="63" ht="20.25" customHeight="1">
      <c r="A63" s="19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93"/>
      <c r="S63" s="194"/>
      <c r="T63" s="195"/>
      <c r="U63" s="195"/>
      <c r="V63" s="195"/>
      <c r="W63" s="195"/>
      <c r="X63" s="195"/>
      <c r="Y63" s="195"/>
      <c r="Z63" s="195"/>
      <c r="AA63" s="195"/>
    </row>
    <row r="64" ht="20.25" customHeight="1">
      <c r="A64" s="19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93"/>
      <c r="S64" s="194"/>
      <c r="T64" s="195"/>
      <c r="U64" s="195"/>
      <c r="V64" s="195"/>
      <c r="W64" s="195"/>
      <c r="X64" s="195"/>
      <c r="Y64" s="195"/>
      <c r="Z64" s="195"/>
      <c r="AA64" s="195"/>
    </row>
    <row r="65" ht="20.25" customHeight="1">
      <c r="A65" s="19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93"/>
      <c r="S65" s="194"/>
      <c r="T65" s="195"/>
      <c r="U65" s="195"/>
      <c r="V65" s="195"/>
      <c r="W65" s="195"/>
      <c r="X65" s="195"/>
      <c r="Y65" s="195"/>
      <c r="Z65" s="195"/>
      <c r="AA65" s="195"/>
    </row>
    <row r="66" ht="20.25" customHeight="1">
      <c r="A66" s="19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93"/>
      <c r="S66" s="194"/>
      <c r="T66" s="195"/>
      <c r="U66" s="195"/>
      <c r="V66" s="195"/>
      <c r="W66" s="195"/>
      <c r="X66" s="195"/>
      <c r="Y66" s="195"/>
      <c r="Z66" s="195"/>
      <c r="AA66" s="195"/>
    </row>
    <row r="67" ht="20.25" customHeight="1">
      <c r="A67" s="19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93"/>
      <c r="S67" s="194"/>
      <c r="T67" s="195"/>
      <c r="U67" s="195"/>
      <c r="V67" s="195"/>
      <c r="W67" s="195"/>
      <c r="X67" s="195"/>
      <c r="Y67" s="195"/>
      <c r="Z67" s="195"/>
      <c r="AA67" s="195"/>
    </row>
    <row r="68" ht="20.25" customHeight="1">
      <c r="A68" s="19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93"/>
      <c r="S68" s="194"/>
      <c r="T68" s="195"/>
      <c r="U68" s="195"/>
      <c r="V68" s="195"/>
      <c r="W68" s="195"/>
      <c r="X68" s="195"/>
      <c r="Y68" s="195"/>
      <c r="Z68" s="195"/>
      <c r="AA68" s="195"/>
    </row>
    <row r="69" ht="20.25" customHeight="1">
      <c r="A69" s="19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93"/>
      <c r="S69" s="194"/>
      <c r="T69" s="195"/>
      <c r="U69" s="195"/>
      <c r="V69" s="195"/>
      <c r="W69" s="195"/>
      <c r="X69" s="195"/>
      <c r="Y69" s="195"/>
      <c r="Z69" s="195"/>
      <c r="AA69" s="195"/>
    </row>
    <row r="70" ht="20.25" customHeight="1">
      <c r="A70" s="19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93"/>
      <c r="S70" s="194"/>
      <c r="T70" s="195"/>
      <c r="U70" s="195"/>
      <c r="V70" s="195"/>
      <c r="W70" s="195"/>
      <c r="X70" s="195"/>
      <c r="Y70" s="195"/>
      <c r="Z70" s="195"/>
      <c r="AA70" s="195"/>
    </row>
    <row r="71" ht="20.25" customHeight="1">
      <c r="A71" s="19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93"/>
      <c r="S71" s="194"/>
      <c r="T71" s="195"/>
      <c r="U71" s="195"/>
      <c r="V71" s="195"/>
      <c r="W71" s="195"/>
      <c r="X71" s="195"/>
      <c r="Y71" s="195"/>
      <c r="Z71" s="195"/>
      <c r="AA71" s="195"/>
    </row>
    <row r="72" ht="20.25" customHeight="1">
      <c r="A72" s="19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93"/>
      <c r="S72" s="194"/>
      <c r="T72" s="195"/>
      <c r="U72" s="195"/>
      <c r="V72" s="195"/>
      <c r="W72" s="195"/>
      <c r="X72" s="195"/>
      <c r="Y72" s="195"/>
      <c r="Z72" s="195"/>
      <c r="AA72" s="195"/>
    </row>
    <row r="73" ht="20.25" customHeight="1">
      <c r="A73" s="19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93"/>
      <c r="S73" s="194"/>
      <c r="T73" s="195"/>
      <c r="U73" s="195"/>
      <c r="V73" s="195"/>
      <c r="W73" s="195"/>
      <c r="X73" s="195"/>
      <c r="Y73" s="195"/>
      <c r="Z73" s="195"/>
      <c r="AA73" s="195"/>
    </row>
    <row r="74" ht="20.25" customHeight="1">
      <c r="A74" s="19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93"/>
      <c r="S74" s="194"/>
      <c r="T74" s="195"/>
      <c r="U74" s="195"/>
      <c r="V74" s="195"/>
      <c r="W74" s="195"/>
      <c r="X74" s="195"/>
      <c r="Y74" s="195"/>
      <c r="Z74" s="195"/>
      <c r="AA74" s="195"/>
    </row>
    <row r="75" ht="20.25" customHeight="1">
      <c r="A75" s="19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93"/>
      <c r="S75" s="194"/>
      <c r="T75" s="195"/>
      <c r="U75" s="195"/>
      <c r="V75" s="195"/>
      <c r="W75" s="195"/>
      <c r="X75" s="195"/>
      <c r="Y75" s="195"/>
      <c r="Z75" s="195"/>
      <c r="AA75" s="195"/>
    </row>
    <row r="76" ht="20.25" customHeight="1">
      <c r="A76" s="19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93"/>
      <c r="S76" s="194"/>
      <c r="T76" s="195"/>
      <c r="U76" s="195"/>
      <c r="V76" s="195"/>
      <c r="W76" s="195"/>
      <c r="X76" s="195"/>
      <c r="Y76" s="195"/>
      <c r="Z76" s="195"/>
      <c r="AA76" s="195"/>
    </row>
    <row r="77" ht="20.25" customHeight="1">
      <c r="A77" s="19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93"/>
      <c r="S77" s="194"/>
      <c r="T77" s="195"/>
      <c r="U77" s="195"/>
      <c r="V77" s="195"/>
      <c r="W77" s="195"/>
      <c r="X77" s="195"/>
      <c r="Y77" s="195"/>
      <c r="Z77" s="195"/>
      <c r="AA77" s="195"/>
    </row>
    <row r="78" ht="20.25" customHeight="1">
      <c r="A78" s="19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93"/>
      <c r="S78" s="194"/>
      <c r="T78" s="195"/>
      <c r="U78" s="195"/>
      <c r="V78" s="195"/>
      <c r="W78" s="195"/>
      <c r="X78" s="195"/>
      <c r="Y78" s="195"/>
      <c r="Z78" s="195"/>
      <c r="AA78" s="195"/>
    </row>
    <row r="79" ht="20.25" customHeight="1">
      <c r="A79" s="19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93"/>
      <c r="S79" s="194"/>
      <c r="T79" s="195"/>
      <c r="U79" s="195"/>
      <c r="V79" s="195"/>
      <c r="W79" s="195"/>
      <c r="X79" s="195"/>
      <c r="Y79" s="195"/>
      <c r="Z79" s="195"/>
      <c r="AA79" s="195"/>
    </row>
    <row r="80" ht="20.25" customHeight="1">
      <c r="A80" s="19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93"/>
      <c r="S80" s="194"/>
      <c r="T80" s="195"/>
      <c r="U80" s="195"/>
      <c r="V80" s="195"/>
      <c r="W80" s="195"/>
      <c r="X80" s="195"/>
      <c r="Y80" s="195"/>
      <c r="Z80" s="195"/>
      <c r="AA80" s="19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0 G11:G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C11:C80">
      <formula1>'Elenco Dip Sedi'!$D$5:$D$32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O11:O80">
      <formula1>"x PRESTAZIONE,ACC + DILAZIONE,DILAZIONATO, ELYGHT,UNICO,PAGODIL"</formula1>
    </dataValidation>
    <dataValidation type="list" allowBlank="1" showErrorMessage="1" sqref="G11:G80">
      <formula1>'Elenco Dip Sedi'!$C$5:$C$32</formula1>
    </dataValidation>
    <dataValidation type="list" allowBlank="1" showErrorMessage="1" sqref="P11:P80">
      <formula1>'Elenco Dip Sedi'!$K$5:$K$32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E11:E80">
      <formula1>'Elenco Dip Sedi'!$N$5:$N$32</formula1>
    </dataValidation>
    <dataValidation type="list" allowBlank="1" showErrorMessage="1" sqref="F11:F80">
      <formula1>"M,F"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923C"/>
    <pageSetUpPr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13.25"/>
    <col customWidth="1" min="3" max="3" width="21.13"/>
    <col customWidth="1" min="4" max="4" width="28.25"/>
    <col customWidth="1" min="5" max="5" width="18.88"/>
    <col customWidth="1" min="6" max="6" width="8.13"/>
    <col customWidth="1" min="7" max="7" width="35.25"/>
    <col customWidth="1" hidden="1" min="8" max="8" width="18.38"/>
    <col customWidth="1" min="9" max="9" width="12.0"/>
    <col customWidth="1" min="10" max="10" width="9.88"/>
    <col customWidth="1" hidden="1" min="11" max="11" width="3.5"/>
    <col customWidth="1" min="12" max="12" width="14.25"/>
    <col customWidth="1" hidden="1" min="13" max="13" width="3.13"/>
    <col customWidth="1" min="14" max="14" width="14.63"/>
    <col customWidth="1" hidden="1" min="15" max="15" width="8.38"/>
    <col customWidth="1" min="16" max="16" width="19.13"/>
    <col customWidth="1" min="17" max="17" width="11.88"/>
    <col customWidth="1" min="18" max="18" width="54.88"/>
    <col customWidth="1" min="19" max="27" width="5.88"/>
  </cols>
  <sheetData>
    <row r="1" ht="23.25" customHeight="1">
      <c r="C1" s="57"/>
      <c r="D1" s="156" t="s">
        <v>66</v>
      </c>
      <c r="E1" s="157" t="s">
        <v>67</v>
      </c>
      <c r="F1" s="53"/>
      <c r="G1" s="158" t="s">
        <v>103</v>
      </c>
      <c r="H1" s="159"/>
      <c r="I1" s="55"/>
      <c r="J1" s="56"/>
      <c r="L1" s="56"/>
      <c r="M1" s="57"/>
      <c r="N1" s="58"/>
      <c r="O1" s="59"/>
      <c r="P1" s="60"/>
      <c r="Q1" s="61"/>
    </row>
    <row r="2" ht="20.25" customHeight="1">
      <c r="D2" s="160"/>
      <c r="E2" s="160"/>
      <c r="F2" s="53"/>
      <c r="G2" s="161"/>
      <c r="H2" s="162"/>
      <c r="I2" s="65"/>
      <c r="J2" s="66"/>
      <c r="K2" s="66"/>
      <c r="L2" s="66"/>
      <c r="M2" s="67"/>
      <c r="N2" s="58"/>
      <c r="O2" s="68"/>
      <c r="P2" s="69"/>
      <c r="Q2" s="61"/>
    </row>
    <row r="3" ht="21.0" customHeight="1">
      <c r="D3" s="163"/>
      <c r="E3" s="164"/>
      <c r="F3" s="53"/>
      <c r="G3" s="57"/>
      <c r="H3" s="57"/>
      <c r="I3" s="70"/>
      <c r="J3" s="165"/>
      <c r="K3" s="165"/>
      <c r="L3" s="165"/>
      <c r="M3" s="166"/>
      <c r="N3" s="167"/>
      <c r="O3" s="72"/>
      <c r="P3" s="69"/>
      <c r="Q3" s="61"/>
    </row>
    <row r="4" ht="21.0" customHeight="1">
      <c r="D4" s="168"/>
      <c r="E4" s="169"/>
      <c r="F4" s="84"/>
      <c r="G4" s="84"/>
      <c r="H4" s="84"/>
      <c r="I4" s="170"/>
      <c r="J4" s="171"/>
      <c r="K4" s="171"/>
      <c r="L4" s="171"/>
      <c r="M4" s="78"/>
      <c r="N4" s="89"/>
      <c r="O4" s="172"/>
      <c r="P4" s="69"/>
      <c r="Q4" s="83"/>
      <c r="R4" s="84"/>
      <c r="S4" s="84"/>
      <c r="T4" s="84"/>
      <c r="U4" s="84"/>
      <c r="V4" s="84"/>
      <c r="W4" s="84"/>
      <c r="X4" s="84"/>
      <c r="Y4" s="84"/>
      <c r="Z4" s="84"/>
      <c r="AA4" s="84"/>
    </row>
    <row r="5" ht="21.0" customHeight="1">
      <c r="C5" s="78"/>
      <c r="D5" s="173"/>
      <c r="E5" s="174"/>
      <c r="F5" s="175"/>
      <c r="G5" s="176"/>
      <c r="H5" s="177"/>
      <c r="I5" s="178"/>
      <c r="J5" s="179" t="s">
        <v>104</v>
      </c>
      <c r="L5" s="180"/>
      <c r="M5" s="181"/>
      <c r="N5" s="182"/>
      <c r="O5" s="183"/>
      <c r="P5" s="184"/>
      <c r="Q5" s="83"/>
      <c r="R5" s="84"/>
      <c r="S5" s="84"/>
      <c r="T5" s="84"/>
      <c r="U5" s="84"/>
      <c r="V5" s="84"/>
      <c r="W5" s="84"/>
      <c r="X5" s="84"/>
      <c r="Y5" s="84"/>
      <c r="Z5" s="84"/>
      <c r="AA5" s="84"/>
    </row>
    <row r="6" ht="19.5" customHeight="1">
      <c r="C6" s="78"/>
      <c r="D6" s="199"/>
      <c r="E6" s="77"/>
      <c r="F6" s="76"/>
      <c r="G6" s="77"/>
      <c r="H6" s="78"/>
      <c r="I6" s="80" t="s">
        <v>105</v>
      </c>
      <c r="L6" s="186">
        <f>SUMIF(A11:A140,"INZIA IL TRATTAMENTO-VENDITA", I11:I140)</f>
        <v>0</v>
      </c>
      <c r="M6" s="187"/>
      <c r="O6" s="82"/>
      <c r="P6" s="188"/>
      <c r="Q6" s="83"/>
      <c r="R6" s="84"/>
      <c r="S6" s="84"/>
      <c r="T6" s="84"/>
      <c r="U6" s="84"/>
      <c r="V6" s="84"/>
      <c r="W6" s="84"/>
      <c r="X6" s="84"/>
      <c r="Y6" s="84"/>
      <c r="Z6" s="84"/>
      <c r="AA6" s="84"/>
    </row>
    <row r="7" ht="21.0" customHeight="1">
      <c r="C7" s="86"/>
      <c r="D7" s="87"/>
      <c r="E7" s="76"/>
      <c r="F7" s="88"/>
      <c r="G7" s="76"/>
      <c r="H7" s="78"/>
      <c r="I7" s="189" t="s">
        <v>106</v>
      </c>
      <c r="K7" s="78"/>
      <c r="L7" s="190">
        <f>L6+SUMIFS('OPPORTUNITA DI VENDITA'!J198:J513,'OPPORTUNITA DI VENDITA'!C198:C513, "&gt;=01/12/2026", 'OPPORTUNITA DI VENDITA'!C198:C513, "&lt;=31/12/2026",'OPPORTUNITA DI VENDITA'!B198:B513,"ESEGUITO")</f>
        <v>0</v>
      </c>
      <c r="M7" s="78"/>
      <c r="O7" s="90"/>
      <c r="P7" s="69"/>
      <c r="Q7" s="83"/>
      <c r="R7" s="84"/>
      <c r="S7" s="84"/>
      <c r="T7" s="84"/>
      <c r="U7" s="84"/>
      <c r="V7" s="84"/>
      <c r="W7" s="84"/>
      <c r="X7" s="84"/>
      <c r="Y7" s="84"/>
      <c r="Z7" s="84"/>
      <c r="AA7" s="84"/>
    </row>
    <row r="8" ht="17.25" customHeight="1">
      <c r="C8" s="78"/>
      <c r="D8" s="91"/>
      <c r="E8" s="92"/>
      <c r="F8" s="93"/>
      <c r="G8" s="92"/>
      <c r="H8" s="78"/>
      <c r="I8" s="79"/>
      <c r="J8" s="78"/>
      <c r="M8" s="78"/>
      <c r="N8" s="89"/>
      <c r="O8" s="94"/>
      <c r="P8" s="95"/>
      <c r="Q8" s="83"/>
      <c r="R8" s="84"/>
      <c r="S8" s="84"/>
      <c r="T8" s="84"/>
      <c r="U8" s="84"/>
      <c r="V8" s="84"/>
      <c r="W8" s="84"/>
      <c r="X8" s="84"/>
      <c r="Y8" s="84"/>
      <c r="Z8" s="84"/>
      <c r="AA8" s="84"/>
    </row>
    <row r="9" ht="25.5" customHeight="1">
      <c r="A9" s="97" t="s">
        <v>69</v>
      </c>
      <c r="B9" s="98" t="s">
        <v>70</v>
      </c>
      <c r="C9" s="99" t="s">
        <v>71</v>
      </c>
      <c r="D9" s="100" t="s">
        <v>72</v>
      </c>
      <c r="E9" s="101" t="s">
        <v>73</v>
      </c>
      <c r="F9" s="100" t="s">
        <v>74</v>
      </c>
      <c r="G9" s="102" t="s">
        <v>75</v>
      </c>
      <c r="H9" s="103"/>
      <c r="I9" s="104" t="s">
        <v>76</v>
      </c>
      <c r="J9" s="236" t="s">
        <v>107</v>
      </c>
      <c r="K9" s="131"/>
      <c r="L9" s="131"/>
      <c r="M9" s="103"/>
      <c r="N9" s="108" t="s">
        <v>79</v>
      </c>
      <c r="O9" s="109" t="s">
        <v>80</v>
      </c>
      <c r="P9" s="103"/>
      <c r="Q9" s="110" t="s">
        <v>81</v>
      </c>
      <c r="R9" s="111" t="s">
        <v>82</v>
      </c>
    </row>
    <row r="10" ht="3.75" customHeight="1">
      <c r="A10" s="113"/>
      <c r="B10" s="191"/>
      <c r="C10" s="191"/>
      <c r="D10" s="191"/>
      <c r="E10" s="191"/>
      <c r="F10" s="114"/>
      <c r="G10" s="191"/>
      <c r="H10" s="191"/>
      <c r="I10" s="191"/>
      <c r="J10" s="237"/>
      <c r="K10" s="237"/>
      <c r="L10" s="237"/>
      <c r="M10" s="237"/>
      <c r="N10" s="191"/>
      <c r="O10" s="191"/>
      <c r="P10" s="191"/>
      <c r="Q10" s="191"/>
      <c r="R10" s="191"/>
      <c r="S10" s="191"/>
      <c r="T10" s="191"/>
      <c r="U10" s="191"/>
      <c r="V10" s="191"/>
      <c r="W10" s="191"/>
      <c r="X10" s="191"/>
      <c r="Y10" s="191"/>
      <c r="Z10" s="191"/>
      <c r="AA10" s="191"/>
    </row>
    <row r="11" ht="20.25" customHeight="1">
      <c r="A11" s="192"/>
      <c r="B11" s="118"/>
      <c r="C11" s="119"/>
      <c r="D11" s="120"/>
      <c r="E11" s="119"/>
      <c r="F11" s="119"/>
      <c r="G11" s="119"/>
      <c r="H11" s="119"/>
      <c r="I11" s="117"/>
      <c r="J11" s="118"/>
      <c r="K11" s="46"/>
      <c r="L11" s="46"/>
      <c r="M11" s="46"/>
      <c r="N11" s="117"/>
      <c r="O11" s="119"/>
      <c r="P11" s="119"/>
      <c r="Q11" s="120"/>
      <c r="R11" s="193"/>
      <c r="S11" s="194"/>
      <c r="T11" s="195"/>
      <c r="U11" s="195"/>
      <c r="V11" s="195"/>
      <c r="W11" s="195"/>
      <c r="X11" s="195"/>
      <c r="Y11" s="195"/>
      <c r="Z11" s="195"/>
      <c r="AA11" s="195"/>
    </row>
    <row r="12" ht="20.25" customHeight="1">
      <c r="A12" s="192"/>
      <c r="B12" s="118"/>
      <c r="C12" s="119"/>
      <c r="D12" s="120"/>
      <c r="E12" s="119"/>
      <c r="F12" s="119"/>
      <c r="G12" s="119"/>
      <c r="H12" s="119"/>
      <c r="I12" s="117"/>
      <c r="J12" s="118"/>
      <c r="K12" s="46"/>
      <c r="L12" s="46"/>
      <c r="M12" s="46"/>
      <c r="N12" s="117"/>
      <c r="O12" s="119"/>
      <c r="P12" s="119"/>
      <c r="Q12" s="120"/>
      <c r="R12" s="193"/>
      <c r="S12" s="194"/>
      <c r="T12" s="195"/>
      <c r="U12" s="195"/>
      <c r="V12" s="195"/>
      <c r="W12" s="195"/>
      <c r="X12" s="195"/>
      <c r="Y12" s="195"/>
      <c r="Z12" s="195"/>
      <c r="AA12" s="195"/>
    </row>
    <row r="13" ht="20.25" customHeight="1">
      <c r="A13" s="192"/>
      <c r="B13" s="118"/>
      <c r="C13" s="119"/>
      <c r="D13" s="120"/>
      <c r="E13" s="119"/>
      <c r="F13" s="119"/>
      <c r="G13" s="119"/>
      <c r="H13" s="119"/>
      <c r="I13" s="117"/>
      <c r="J13" s="118"/>
      <c r="K13" s="46"/>
      <c r="L13" s="46"/>
      <c r="M13" s="46"/>
      <c r="N13" s="117"/>
      <c r="O13" s="119"/>
      <c r="P13" s="119"/>
      <c r="Q13" s="120"/>
      <c r="R13" s="193"/>
      <c r="S13" s="194"/>
      <c r="T13" s="195"/>
      <c r="U13" s="195"/>
      <c r="V13" s="195"/>
      <c r="W13" s="195"/>
      <c r="X13" s="195"/>
      <c r="Y13" s="195"/>
      <c r="Z13" s="195"/>
      <c r="AA13" s="195"/>
    </row>
    <row r="14" ht="20.25" customHeight="1">
      <c r="A14" s="192"/>
      <c r="B14" s="118"/>
      <c r="C14" s="119"/>
      <c r="D14" s="120"/>
      <c r="E14" s="119"/>
      <c r="F14" s="119"/>
      <c r="G14" s="119"/>
      <c r="H14" s="119"/>
      <c r="I14" s="117"/>
      <c r="J14" s="118"/>
      <c r="K14" s="46"/>
      <c r="L14" s="46"/>
      <c r="M14" s="46"/>
      <c r="N14" s="117"/>
      <c r="O14" s="119"/>
      <c r="P14" s="119"/>
      <c r="Q14" s="120"/>
      <c r="R14" s="193"/>
      <c r="S14" s="194"/>
      <c r="T14" s="195"/>
      <c r="U14" s="195"/>
      <c r="V14" s="195"/>
      <c r="W14" s="195"/>
      <c r="X14" s="195"/>
      <c r="Y14" s="195"/>
      <c r="Z14" s="195"/>
      <c r="AA14" s="195"/>
    </row>
    <row r="15" ht="20.25" customHeight="1">
      <c r="A15" s="192"/>
      <c r="B15" s="118"/>
      <c r="C15" s="119"/>
      <c r="D15" s="120"/>
      <c r="E15" s="119"/>
      <c r="F15" s="119"/>
      <c r="G15" s="119"/>
      <c r="H15" s="119"/>
      <c r="I15" s="117"/>
      <c r="J15" s="118"/>
      <c r="K15" s="46"/>
      <c r="L15" s="46"/>
      <c r="M15" s="46"/>
      <c r="N15" s="117"/>
      <c r="O15" s="119"/>
      <c r="P15" s="119"/>
      <c r="Q15" s="120"/>
      <c r="R15" s="193"/>
      <c r="S15" s="194"/>
      <c r="T15" s="195"/>
      <c r="U15" s="195"/>
      <c r="V15" s="195"/>
      <c r="W15" s="195"/>
      <c r="X15" s="195"/>
      <c r="Y15" s="195"/>
      <c r="Z15" s="195"/>
      <c r="AA15" s="195"/>
    </row>
    <row r="16" ht="20.25" customHeight="1">
      <c r="A16" s="192"/>
      <c r="B16" s="118"/>
      <c r="C16" s="119"/>
      <c r="D16" s="120"/>
      <c r="E16" s="119"/>
      <c r="F16" s="119"/>
      <c r="G16" s="119"/>
      <c r="H16" s="119"/>
      <c r="I16" s="117"/>
      <c r="J16" s="118"/>
      <c r="K16" s="46"/>
      <c r="L16" s="46"/>
      <c r="M16" s="46"/>
      <c r="N16" s="117"/>
      <c r="O16" s="119"/>
      <c r="P16" s="119"/>
      <c r="Q16" s="120"/>
      <c r="R16" s="193"/>
      <c r="S16" s="194"/>
      <c r="T16" s="195"/>
      <c r="U16" s="195"/>
      <c r="V16" s="195"/>
      <c r="W16" s="195"/>
      <c r="X16" s="195"/>
      <c r="Y16" s="195"/>
      <c r="Z16" s="195"/>
      <c r="AA16" s="195"/>
    </row>
    <row r="17" ht="20.25" customHeight="1">
      <c r="A17" s="192"/>
      <c r="B17" s="118"/>
      <c r="C17" s="119"/>
      <c r="D17" s="120"/>
      <c r="E17" s="119"/>
      <c r="F17" s="119"/>
      <c r="G17" s="119"/>
      <c r="H17" s="119"/>
      <c r="I17" s="117"/>
      <c r="J17" s="118"/>
      <c r="K17" s="46"/>
      <c r="L17" s="46"/>
      <c r="M17" s="46"/>
      <c r="N17" s="117"/>
      <c r="O17" s="119"/>
      <c r="P17" s="119"/>
      <c r="Q17" s="120"/>
      <c r="R17" s="193"/>
      <c r="S17" s="194"/>
      <c r="T17" s="195"/>
      <c r="U17" s="195"/>
      <c r="V17" s="195"/>
      <c r="W17" s="195"/>
      <c r="X17" s="195"/>
      <c r="Y17" s="195"/>
      <c r="Z17" s="195"/>
      <c r="AA17" s="195"/>
    </row>
    <row r="18" ht="20.25" customHeight="1">
      <c r="A18" s="192"/>
      <c r="B18" s="118"/>
      <c r="C18" s="119"/>
      <c r="D18" s="120"/>
      <c r="E18" s="119"/>
      <c r="F18" s="119"/>
      <c r="G18" s="119"/>
      <c r="H18" s="119"/>
      <c r="I18" s="117"/>
      <c r="J18" s="118"/>
      <c r="K18" s="46"/>
      <c r="L18" s="46"/>
      <c r="M18" s="46"/>
      <c r="N18" s="117"/>
      <c r="O18" s="119"/>
      <c r="P18" s="119"/>
      <c r="Q18" s="120"/>
      <c r="R18" s="193"/>
      <c r="S18" s="194"/>
      <c r="T18" s="195"/>
      <c r="U18" s="195"/>
      <c r="V18" s="195"/>
      <c r="W18" s="195"/>
      <c r="X18" s="195"/>
      <c r="Y18" s="195"/>
      <c r="Z18" s="195"/>
      <c r="AA18" s="195"/>
    </row>
    <row r="19" ht="20.25" customHeight="1">
      <c r="A19" s="192"/>
      <c r="B19" s="118"/>
      <c r="C19" s="119"/>
      <c r="D19" s="120"/>
      <c r="E19" s="119"/>
      <c r="F19" s="119"/>
      <c r="G19" s="119"/>
      <c r="H19" s="119"/>
      <c r="I19" s="117"/>
      <c r="J19" s="118"/>
      <c r="K19" s="46"/>
      <c r="L19" s="46"/>
      <c r="M19" s="46"/>
      <c r="N19" s="117"/>
      <c r="O19" s="119"/>
      <c r="P19" s="119"/>
      <c r="Q19" s="120"/>
      <c r="R19" s="193"/>
      <c r="S19" s="194"/>
      <c r="T19" s="195"/>
      <c r="U19" s="195"/>
      <c r="V19" s="195"/>
      <c r="W19" s="195"/>
      <c r="X19" s="195"/>
      <c r="Y19" s="195"/>
      <c r="Z19" s="195"/>
      <c r="AA19" s="195"/>
    </row>
    <row r="20" ht="20.25" customHeight="1">
      <c r="A20" s="192"/>
      <c r="B20" s="118"/>
      <c r="C20" s="119"/>
      <c r="D20" s="120"/>
      <c r="E20" s="119"/>
      <c r="F20" s="119"/>
      <c r="G20" s="119"/>
      <c r="H20" s="119"/>
      <c r="I20" s="117"/>
      <c r="J20" s="118"/>
      <c r="K20" s="46"/>
      <c r="L20" s="46"/>
      <c r="M20" s="46"/>
      <c r="N20" s="117"/>
      <c r="O20" s="119"/>
      <c r="P20" s="119"/>
      <c r="Q20" s="120"/>
      <c r="R20" s="193"/>
      <c r="S20" s="194"/>
      <c r="T20" s="195"/>
      <c r="U20" s="195"/>
      <c r="V20" s="195"/>
      <c r="W20" s="195"/>
      <c r="X20" s="195"/>
      <c r="Y20" s="195"/>
      <c r="Z20" s="195"/>
      <c r="AA20" s="195"/>
    </row>
    <row r="21" ht="20.25" customHeight="1">
      <c r="A21" s="192"/>
      <c r="B21" s="118"/>
      <c r="C21" s="119"/>
      <c r="D21" s="120"/>
      <c r="E21" s="119"/>
      <c r="F21" s="119"/>
      <c r="G21" s="119"/>
      <c r="H21" s="119"/>
      <c r="I21" s="117"/>
      <c r="J21" s="118"/>
      <c r="K21" s="46"/>
      <c r="L21" s="46"/>
      <c r="M21" s="46"/>
      <c r="N21" s="117"/>
      <c r="O21" s="119"/>
      <c r="P21" s="119"/>
      <c r="Q21" s="120"/>
      <c r="R21" s="193"/>
      <c r="S21" s="194"/>
      <c r="T21" s="195"/>
      <c r="U21" s="195"/>
      <c r="V21" s="195"/>
      <c r="W21" s="195"/>
      <c r="X21" s="195"/>
      <c r="Y21" s="195"/>
      <c r="Z21" s="195"/>
      <c r="AA21" s="195"/>
    </row>
    <row r="22" ht="20.25" customHeight="1">
      <c r="A22" s="192"/>
      <c r="B22" s="118"/>
      <c r="C22" s="119"/>
      <c r="D22" s="120"/>
      <c r="E22" s="119"/>
      <c r="F22" s="119"/>
      <c r="G22" s="119"/>
      <c r="H22" s="119"/>
      <c r="I22" s="117"/>
      <c r="J22" s="118"/>
      <c r="K22" s="46"/>
      <c r="L22" s="46"/>
      <c r="M22" s="46"/>
      <c r="N22" s="117"/>
      <c r="O22" s="119"/>
      <c r="P22" s="119"/>
      <c r="Q22" s="120"/>
      <c r="R22" s="193"/>
      <c r="S22" s="194"/>
      <c r="T22" s="195"/>
      <c r="U22" s="195"/>
      <c r="V22" s="195"/>
      <c r="W22" s="195"/>
      <c r="X22" s="195"/>
      <c r="Y22" s="195"/>
      <c r="Z22" s="195"/>
      <c r="AA22" s="195"/>
    </row>
    <row r="23" ht="20.25" customHeight="1">
      <c r="A23" s="192"/>
      <c r="B23" s="118"/>
      <c r="C23" s="119"/>
      <c r="D23" s="120"/>
      <c r="E23" s="119"/>
      <c r="F23" s="119"/>
      <c r="G23" s="119"/>
      <c r="H23" s="119"/>
      <c r="I23" s="117"/>
      <c r="J23" s="118"/>
      <c r="K23" s="46"/>
      <c r="L23" s="46"/>
      <c r="M23" s="46"/>
      <c r="N23" s="117"/>
      <c r="O23" s="119"/>
      <c r="P23" s="119"/>
      <c r="Q23" s="120"/>
      <c r="R23" s="193"/>
      <c r="S23" s="194"/>
      <c r="T23" s="195"/>
      <c r="U23" s="195"/>
      <c r="V23" s="195"/>
      <c r="W23" s="195"/>
      <c r="X23" s="195"/>
      <c r="Y23" s="195"/>
      <c r="Z23" s="195"/>
      <c r="AA23" s="195"/>
    </row>
    <row r="24" ht="20.25" customHeight="1">
      <c r="A24" s="192"/>
      <c r="B24" s="118"/>
      <c r="C24" s="119"/>
      <c r="D24" s="120"/>
      <c r="E24" s="119"/>
      <c r="F24" s="119"/>
      <c r="G24" s="119"/>
      <c r="H24" s="119"/>
      <c r="I24" s="117"/>
      <c r="J24" s="118"/>
      <c r="K24" s="46"/>
      <c r="L24" s="46"/>
      <c r="M24" s="46"/>
      <c r="N24" s="117"/>
      <c r="O24" s="119"/>
      <c r="P24" s="119"/>
      <c r="Q24" s="120"/>
      <c r="R24" s="193"/>
      <c r="S24" s="194"/>
      <c r="T24" s="195"/>
      <c r="U24" s="195"/>
      <c r="V24" s="195"/>
      <c r="W24" s="195"/>
      <c r="X24" s="195"/>
      <c r="Y24" s="195"/>
      <c r="Z24" s="195"/>
      <c r="AA24" s="195"/>
    </row>
    <row r="25" ht="20.25" customHeight="1">
      <c r="A25" s="192"/>
      <c r="B25" s="118"/>
      <c r="C25" s="119"/>
      <c r="D25" s="120"/>
      <c r="E25" s="119"/>
      <c r="F25" s="119"/>
      <c r="G25" s="119"/>
      <c r="H25" s="119"/>
      <c r="I25" s="117"/>
      <c r="J25" s="118"/>
      <c r="K25" s="46"/>
      <c r="L25" s="46"/>
      <c r="M25" s="46"/>
      <c r="N25" s="117"/>
      <c r="O25" s="119"/>
      <c r="P25" s="119"/>
      <c r="Q25" s="120"/>
      <c r="R25" s="193"/>
      <c r="S25" s="194"/>
      <c r="T25" s="195"/>
      <c r="U25" s="195"/>
      <c r="V25" s="195"/>
      <c r="W25" s="195"/>
      <c r="X25" s="195"/>
      <c r="Y25" s="195"/>
      <c r="Z25" s="195"/>
      <c r="AA25" s="195"/>
    </row>
    <row r="26" ht="20.25" customHeight="1">
      <c r="A26" s="192"/>
      <c r="B26" s="118"/>
      <c r="C26" s="119"/>
      <c r="D26" s="120"/>
      <c r="E26" s="119"/>
      <c r="F26" s="119"/>
      <c r="G26" s="119"/>
      <c r="H26" s="119"/>
      <c r="I26" s="117"/>
      <c r="J26" s="118"/>
      <c r="K26" s="46"/>
      <c r="L26" s="46"/>
      <c r="M26" s="46"/>
      <c r="N26" s="117"/>
      <c r="O26" s="119"/>
      <c r="P26" s="119"/>
      <c r="Q26" s="120"/>
      <c r="R26" s="193"/>
      <c r="S26" s="194"/>
      <c r="T26" s="195"/>
      <c r="U26" s="195"/>
      <c r="V26" s="195"/>
      <c r="W26" s="195"/>
      <c r="X26" s="195"/>
      <c r="Y26" s="195"/>
      <c r="Z26" s="195"/>
      <c r="AA26" s="195"/>
    </row>
    <row r="27" ht="20.25" customHeight="1">
      <c r="A27" s="192"/>
      <c r="B27" s="118"/>
      <c r="C27" s="119"/>
      <c r="D27" s="120"/>
      <c r="E27" s="119"/>
      <c r="F27" s="119"/>
      <c r="G27" s="119"/>
      <c r="H27" s="119"/>
      <c r="I27" s="117"/>
      <c r="J27" s="118"/>
      <c r="K27" s="46"/>
      <c r="L27" s="46"/>
      <c r="M27" s="46"/>
      <c r="N27" s="117"/>
      <c r="O27" s="119"/>
      <c r="P27" s="119"/>
      <c r="Q27" s="120"/>
      <c r="R27" s="193"/>
      <c r="S27" s="194"/>
      <c r="T27" s="195"/>
      <c r="U27" s="195"/>
      <c r="V27" s="195"/>
      <c r="W27" s="195"/>
      <c r="X27" s="195"/>
      <c r="Y27" s="195"/>
      <c r="Z27" s="195"/>
      <c r="AA27" s="195"/>
    </row>
    <row r="28" ht="20.25" customHeight="1">
      <c r="A28" s="192"/>
      <c r="B28" s="118"/>
      <c r="C28" s="119"/>
      <c r="D28" s="120"/>
      <c r="E28" s="119"/>
      <c r="F28" s="119"/>
      <c r="G28" s="119"/>
      <c r="H28" s="119"/>
      <c r="I28" s="117"/>
      <c r="J28" s="118"/>
      <c r="K28" s="46"/>
      <c r="L28" s="46"/>
      <c r="M28" s="46"/>
      <c r="N28" s="117"/>
      <c r="O28" s="119"/>
      <c r="P28" s="119"/>
      <c r="Q28" s="120"/>
      <c r="R28" s="193"/>
      <c r="S28" s="194"/>
      <c r="T28" s="195"/>
      <c r="U28" s="195"/>
      <c r="V28" s="195"/>
      <c r="W28" s="195"/>
      <c r="X28" s="195"/>
      <c r="Y28" s="195"/>
      <c r="Z28" s="195"/>
      <c r="AA28" s="195"/>
    </row>
    <row r="29" ht="20.25" customHeight="1">
      <c r="A29" s="192"/>
      <c r="B29" s="118"/>
      <c r="C29" s="119"/>
      <c r="D29" s="120"/>
      <c r="E29" s="119"/>
      <c r="F29" s="119"/>
      <c r="G29" s="119"/>
      <c r="H29" s="119"/>
      <c r="I29" s="117"/>
      <c r="J29" s="118"/>
      <c r="K29" s="46"/>
      <c r="L29" s="46"/>
      <c r="M29" s="46"/>
      <c r="N29" s="117"/>
      <c r="O29" s="119"/>
      <c r="P29" s="119"/>
      <c r="Q29" s="120"/>
      <c r="R29" s="193"/>
      <c r="S29" s="194"/>
      <c r="T29" s="195"/>
      <c r="U29" s="195"/>
      <c r="V29" s="195"/>
      <c r="W29" s="195"/>
      <c r="X29" s="195"/>
      <c r="Y29" s="195"/>
      <c r="Z29" s="195"/>
      <c r="AA29" s="195"/>
    </row>
    <row r="30" ht="20.25" customHeight="1">
      <c r="A30" s="192"/>
      <c r="B30" s="118"/>
      <c r="C30" s="119"/>
      <c r="D30" s="120"/>
      <c r="E30" s="119"/>
      <c r="F30" s="119"/>
      <c r="G30" s="119"/>
      <c r="H30" s="119"/>
      <c r="I30" s="117"/>
      <c r="J30" s="118"/>
      <c r="K30" s="46"/>
      <c r="L30" s="46"/>
      <c r="M30" s="46"/>
      <c r="N30" s="117"/>
      <c r="O30" s="119"/>
      <c r="P30" s="119"/>
      <c r="Q30" s="120"/>
      <c r="R30" s="193"/>
      <c r="S30" s="194"/>
      <c r="T30" s="195"/>
      <c r="U30" s="195"/>
      <c r="V30" s="195"/>
      <c r="W30" s="195"/>
      <c r="X30" s="195"/>
      <c r="Y30" s="195"/>
      <c r="Z30" s="195"/>
      <c r="AA30" s="195"/>
    </row>
    <row r="31" ht="20.25" customHeight="1">
      <c r="A31" s="192"/>
      <c r="B31" s="118"/>
      <c r="C31" s="119"/>
      <c r="D31" s="120"/>
      <c r="E31" s="119"/>
      <c r="F31" s="119"/>
      <c r="G31" s="119"/>
      <c r="H31" s="119"/>
      <c r="I31" s="117"/>
      <c r="J31" s="118"/>
      <c r="K31" s="46"/>
      <c r="L31" s="46"/>
      <c r="M31" s="46"/>
      <c r="N31" s="117"/>
      <c r="O31" s="119"/>
      <c r="P31" s="119"/>
      <c r="Q31" s="120"/>
      <c r="R31" s="193"/>
      <c r="S31" s="194"/>
      <c r="T31" s="195"/>
      <c r="U31" s="195"/>
      <c r="V31" s="195"/>
      <c r="W31" s="195"/>
      <c r="X31" s="195"/>
      <c r="Y31" s="195"/>
      <c r="Z31" s="195"/>
      <c r="AA31" s="195"/>
    </row>
    <row r="32" ht="20.25" customHeight="1">
      <c r="A32" s="192"/>
      <c r="B32" s="118"/>
      <c r="C32" s="119"/>
      <c r="D32" s="120"/>
      <c r="E32" s="119"/>
      <c r="F32" s="119"/>
      <c r="G32" s="119"/>
      <c r="H32" s="119"/>
      <c r="I32" s="117"/>
      <c r="J32" s="118"/>
      <c r="K32" s="46"/>
      <c r="L32" s="46"/>
      <c r="M32" s="46"/>
      <c r="N32" s="117"/>
      <c r="O32" s="119"/>
      <c r="P32" s="119"/>
      <c r="Q32" s="120"/>
      <c r="R32" s="193"/>
      <c r="S32" s="194"/>
      <c r="T32" s="195"/>
      <c r="U32" s="195"/>
      <c r="V32" s="195"/>
      <c r="W32" s="195"/>
      <c r="X32" s="195"/>
      <c r="Y32" s="195"/>
      <c r="Z32" s="195"/>
      <c r="AA32" s="195"/>
    </row>
    <row r="33" ht="20.25" customHeight="1">
      <c r="A33" s="192"/>
      <c r="B33" s="118"/>
      <c r="C33" s="119"/>
      <c r="D33" s="120"/>
      <c r="E33" s="119"/>
      <c r="F33" s="119"/>
      <c r="G33" s="119"/>
      <c r="H33" s="119"/>
      <c r="I33" s="117"/>
      <c r="J33" s="118"/>
      <c r="K33" s="46"/>
      <c r="L33" s="46"/>
      <c r="M33" s="46"/>
      <c r="N33" s="117"/>
      <c r="O33" s="119"/>
      <c r="P33" s="119"/>
      <c r="Q33" s="120"/>
      <c r="R33" s="193"/>
      <c r="S33" s="194"/>
      <c r="T33" s="195"/>
      <c r="U33" s="195"/>
      <c r="V33" s="195"/>
      <c r="W33" s="195"/>
      <c r="X33" s="195"/>
      <c r="Y33" s="195"/>
      <c r="Z33" s="195"/>
      <c r="AA33" s="195"/>
    </row>
    <row r="34" ht="20.25" customHeight="1">
      <c r="A34" s="192"/>
      <c r="B34" s="118"/>
      <c r="C34" s="119"/>
      <c r="D34" s="120"/>
      <c r="E34" s="119"/>
      <c r="F34" s="119"/>
      <c r="G34" s="119"/>
      <c r="H34" s="119"/>
      <c r="I34" s="117"/>
      <c r="J34" s="118"/>
      <c r="K34" s="46"/>
      <c r="L34" s="46"/>
      <c r="M34" s="46"/>
      <c r="N34" s="117"/>
      <c r="O34" s="119"/>
      <c r="P34" s="119"/>
      <c r="Q34" s="120"/>
      <c r="R34" s="193"/>
      <c r="S34" s="194"/>
      <c r="T34" s="195"/>
      <c r="U34" s="195"/>
      <c r="V34" s="195"/>
      <c r="W34" s="195"/>
      <c r="X34" s="195"/>
      <c r="Y34" s="195"/>
      <c r="Z34" s="195"/>
      <c r="AA34" s="195"/>
    </row>
    <row r="35" ht="20.25" customHeight="1">
      <c r="A35" s="192"/>
      <c r="B35" s="118"/>
      <c r="C35" s="119"/>
      <c r="D35" s="120"/>
      <c r="E35" s="119"/>
      <c r="F35" s="119"/>
      <c r="G35" s="119"/>
      <c r="H35" s="119"/>
      <c r="I35" s="117"/>
      <c r="J35" s="118"/>
      <c r="K35" s="46"/>
      <c r="L35" s="46"/>
      <c r="M35" s="46"/>
      <c r="N35" s="117"/>
      <c r="O35" s="119"/>
      <c r="P35" s="119"/>
      <c r="Q35" s="120"/>
      <c r="R35" s="193"/>
      <c r="S35" s="194"/>
      <c r="T35" s="195"/>
      <c r="U35" s="195"/>
      <c r="V35" s="195"/>
      <c r="W35" s="195"/>
      <c r="X35" s="195"/>
      <c r="Y35" s="195"/>
      <c r="Z35" s="195"/>
      <c r="AA35" s="195"/>
    </row>
    <row r="36" ht="20.25" customHeight="1">
      <c r="A36" s="192"/>
      <c r="B36" s="118"/>
      <c r="C36" s="119"/>
      <c r="D36" s="120"/>
      <c r="E36" s="119"/>
      <c r="F36" s="119"/>
      <c r="G36" s="119"/>
      <c r="H36" s="119"/>
      <c r="I36" s="117"/>
      <c r="J36" s="118"/>
      <c r="K36" s="46"/>
      <c r="L36" s="46"/>
      <c r="M36" s="46"/>
      <c r="N36" s="117"/>
      <c r="O36" s="119"/>
      <c r="P36" s="119"/>
      <c r="Q36" s="120"/>
      <c r="R36" s="193"/>
      <c r="S36" s="194"/>
      <c r="T36" s="195"/>
      <c r="U36" s="195"/>
      <c r="V36" s="195"/>
      <c r="W36" s="195"/>
      <c r="X36" s="195"/>
      <c r="Y36" s="195"/>
      <c r="Z36" s="195"/>
      <c r="AA36" s="195"/>
    </row>
    <row r="37" ht="20.25" customHeight="1">
      <c r="A37" s="192"/>
      <c r="B37" s="118"/>
      <c r="C37" s="119"/>
      <c r="D37" s="120"/>
      <c r="E37" s="119"/>
      <c r="F37" s="119"/>
      <c r="G37" s="119"/>
      <c r="H37" s="119"/>
      <c r="I37" s="117"/>
      <c r="J37" s="118"/>
      <c r="K37" s="46"/>
      <c r="L37" s="46"/>
      <c r="M37" s="46"/>
      <c r="N37" s="117"/>
      <c r="O37" s="119"/>
      <c r="P37" s="119"/>
      <c r="Q37" s="120"/>
      <c r="R37" s="193"/>
      <c r="S37" s="194"/>
      <c r="T37" s="195"/>
      <c r="U37" s="195"/>
      <c r="V37" s="195"/>
      <c r="W37" s="195"/>
      <c r="X37" s="195"/>
      <c r="Y37" s="195"/>
      <c r="Z37" s="195"/>
      <c r="AA37" s="195"/>
    </row>
    <row r="38" ht="20.25" customHeight="1">
      <c r="A38" s="192"/>
      <c r="B38" s="118"/>
      <c r="C38" s="119"/>
      <c r="D38" s="120"/>
      <c r="E38" s="119"/>
      <c r="F38" s="119"/>
      <c r="G38" s="119"/>
      <c r="H38" s="119"/>
      <c r="I38" s="117"/>
      <c r="J38" s="118"/>
      <c r="K38" s="46"/>
      <c r="L38" s="46"/>
      <c r="M38" s="46"/>
      <c r="N38" s="117"/>
      <c r="O38" s="119"/>
      <c r="P38" s="119"/>
      <c r="Q38" s="120"/>
      <c r="R38" s="193"/>
      <c r="S38" s="194"/>
      <c r="T38" s="195"/>
      <c r="U38" s="195"/>
      <c r="V38" s="195"/>
      <c r="W38" s="195"/>
      <c r="X38" s="195"/>
      <c r="Y38" s="195"/>
      <c r="Z38" s="195"/>
      <c r="AA38" s="195"/>
    </row>
    <row r="39" ht="20.25" customHeight="1">
      <c r="A39" s="192"/>
      <c r="B39" s="118"/>
      <c r="C39" s="119"/>
      <c r="D39" s="120"/>
      <c r="E39" s="119"/>
      <c r="F39" s="119"/>
      <c r="G39" s="119"/>
      <c r="H39" s="119"/>
      <c r="I39" s="117"/>
      <c r="J39" s="118"/>
      <c r="K39" s="46"/>
      <c r="L39" s="46"/>
      <c r="M39" s="46"/>
      <c r="N39" s="117"/>
      <c r="O39" s="119"/>
      <c r="P39" s="119"/>
      <c r="Q39" s="120"/>
      <c r="R39" s="193"/>
      <c r="S39" s="194"/>
      <c r="T39" s="195"/>
      <c r="U39" s="195"/>
      <c r="V39" s="195"/>
      <c r="W39" s="195"/>
      <c r="X39" s="195"/>
      <c r="Y39" s="195"/>
      <c r="Z39" s="195"/>
      <c r="AA39" s="195"/>
    </row>
    <row r="40" ht="20.25" customHeight="1">
      <c r="A40" s="192"/>
      <c r="B40" s="118"/>
      <c r="C40" s="119"/>
      <c r="D40" s="120"/>
      <c r="E40" s="119"/>
      <c r="F40" s="119"/>
      <c r="G40" s="119"/>
      <c r="H40" s="119"/>
      <c r="I40" s="117"/>
      <c r="J40" s="118"/>
      <c r="K40" s="46"/>
      <c r="L40" s="46"/>
      <c r="M40" s="46"/>
      <c r="N40" s="117"/>
      <c r="O40" s="119"/>
      <c r="P40" s="119"/>
      <c r="Q40" s="120"/>
      <c r="R40" s="193"/>
      <c r="S40" s="194"/>
      <c r="T40" s="195"/>
      <c r="U40" s="195"/>
      <c r="V40" s="195"/>
      <c r="W40" s="195"/>
      <c r="X40" s="195"/>
      <c r="Y40" s="195"/>
      <c r="Z40" s="195"/>
      <c r="AA40" s="195"/>
    </row>
    <row r="41" ht="20.25" customHeight="1">
      <c r="A41" s="192"/>
      <c r="B41" s="118"/>
      <c r="C41" s="119"/>
      <c r="D41" s="120"/>
      <c r="E41" s="119"/>
      <c r="F41" s="119"/>
      <c r="G41" s="119"/>
      <c r="H41" s="119"/>
      <c r="I41" s="117"/>
      <c r="J41" s="118"/>
      <c r="K41" s="46"/>
      <c r="L41" s="46"/>
      <c r="M41" s="46"/>
      <c r="N41" s="117"/>
      <c r="O41" s="119"/>
      <c r="P41" s="119"/>
      <c r="Q41" s="120"/>
      <c r="R41" s="193"/>
      <c r="S41" s="194"/>
      <c r="T41" s="195"/>
      <c r="U41" s="195"/>
      <c r="V41" s="195"/>
      <c r="W41" s="195"/>
      <c r="X41" s="195"/>
      <c r="Y41" s="195"/>
      <c r="Z41" s="195"/>
      <c r="AA41" s="195"/>
    </row>
    <row r="42" ht="20.25" customHeight="1">
      <c r="A42" s="192"/>
      <c r="B42" s="118"/>
      <c r="C42" s="119"/>
      <c r="D42" s="120"/>
      <c r="E42" s="119"/>
      <c r="F42" s="119"/>
      <c r="G42" s="119"/>
      <c r="H42" s="119"/>
      <c r="I42" s="117"/>
      <c r="J42" s="118"/>
      <c r="K42" s="46"/>
      <c r="L42" s="46"/>
      <c r="M42" s="46"/>
      <c r="N42" s="117"/>
      <c r="O42" s="119"/>
      <c r="P42" s="119"/>
      <c r="Q42" s="120"/>
      <c r="R42" s="193"/>
      <c r="S42" s="194"/>
      <c r="T42" s="195"/>
      <c r="U42" s="195"/>
      <c r="V42" s="195"/>
      <c r="W42" s="195"/>
      <c r="X42" s="195"/>
      <c r="Y42" s="195"/>
      <c r="Z42" s="195"/>
      <c r="AA42" s="195"/>
    </row>
    <row r="43" ht="20.25" customHeight="1">
      <c r="A43" s="192"/>
      <c r="B43" s="118"/>
      <c r="C43" s="119"/>
      <c r="D43" s="120"/>
      <c r="E43" s="119"/>
      <c r="F43" s="119"/>
      <c r="G43" s="119"/>
      <c r="H43" s="119"/>
      <c r="I43" s="117"/>
      <c r="J43" s="118"/>
      <c r="K43" s="46"/>
      <c r="L43" s="46"/>
      <c r="M43" s="46"/>
      <c r="N43" s="117"/>
      <c r="O43" s="119"/>
      <c r="P43" s="119"/>
      <c r="Q43" s="120"/>
      <c r="R43" s="193"/>
      <c r="S43" s="194"/>
      <c r="T43" s="195"/>
      <c r="U43" s="195"/>
      <c r="V43" s="195"/>
      <c r="W43" s="195"/>
      <c r="X43" s="195"/>
      <c r="Y43" s="195"/>
      <c r="Z43" s="195"/>
      <c r="AA43" s="195"/>
    </row>
    <row r="44" ht="20.25" customHeight="1">
      <c r="A44" s="192"/>
      <c r="B44" s="118"/>
      <c r="C44" s="119"/>
      <c r="D44" s="120"/>
      <c r="E44" s="119"/>
      <c r="F44" s="119"/>
      <c r="G44" s="119"/>
      <c r="H44" s="119"/>
      <c r="I44" s="117"/>
      <c r="J44" s="118"/>
      <c r="K44" s="46"/>
      <c r="L44" s="46"/>
      <c r="M44" s="46"/>
      <c r="N44" s="117"/>
      <c r="O44" s="119"/>
      <c r="P44" s="119"/>
      <c r="Q44" s="120"/>
      <c r="R44" s="193"/>
      <c r="S44" s="194"/>
      <c r="T44" s="195"/>
      <c r="U44" s="195"/>
      <c r="V44" s="195"/>
      <c r="W44" s="195"/>
      <c r="X44" s="195"/>
      <c r="Y44" s="195"/>
      <c r="Z44" s="195"/>
      <c r="AA44" s="195"/>
    </row>
    <row r="45" ht="20.25" customHeight="1">
      <c r="A45" s="192"/>
      <c r="B45" s="118"/>
      <c r="C45" s="119"/>
      <c r="D45" s="120"/>
      <c r="E45" s="119"/>
      <c r="F45" s="119"/>
      <c r="G45" s="119"/>
      <c r="H45" s="119"/>
      <c r="I45" s="117"/>
      <c r="J45" s="118"/>
      <c r="K45" s="46"/>
      <c r="L45" s="46"/>
      <c r="M45" s="46"/>
      <c r="N45" s="117"/>
      <c r="O45" s="119"/>
      <c r="P45" s="119"/>
      <c r="Q45" s="120"/>
      <c r="R45" s="193"/>
      <c r="S45" s="194"/>
      <c r="T45" s="195"/>
      <c r="U45" s="195"/>
      <c r="V45" s="195"/>
      <c r="W45" s="195"/>
      <c r="X45" s="195"/>
      <c r="Y45" s="195"/>
      <c r="Z45" s="195"/>
      <c r="AA45" s="195"/>
    </row>
    <row r="46" ht="20.25" customHeight="1">
      <c r="A46" s="192"/>
      <c r="B46" s="118"/>
      <c r="C46" s="119"/>
      <c r="D46" s="120"/>
      <c r="E46" s="119"/>
      <c r="F46" s="119"/>
      <c r="G46" s="119"/>
      <c r="H46" s="119"/>
      <c r="I46" s="117"/>
      <c r="J46" s="118"/>
      <c r="K46" s="46"/>
      <c r="L46" s="46"/>
      <c r="M46" s="46"/>
      <c r="N46" s="117"/>
      <c r="O46" s="119"/>
      <c r="P46" s="119"/>
      <c r="Q46" s="120"/>
      <c r="R46" s="193"/>
      <c r="S46" s="194"/>
      <c r="T46" s="195"/>
      <c r="U46" s="195"/>
      <c r="V46" s="195"/>
      <c r="W46" s="195"/>
      <c r="X46" s="195"/>
      <c r="Y46" s="195"/>
      <c r="Z46" s="195"/>
      <c r="AA46" s="195"/>
    </row>
    <row r="47" ht="20.25" customHeight="1">
      <c r="A47" s="192"/>
      <c r="B47" s="118"/>
      <c r="C47" s="119"/>
      <c r="D47" s="120"/>
      <c r="E47" s="119"/>
      <c r="F47" s="119"/>
      <c r="G47" s="119"/>
      <c r="H47" s="119"/>
      <c r="I47" s="117"/>
      <c r="J47" s="118"/>
      <c r="K47" s="46"/>
      <c r="L47" s="46"/>
      <c r="M47" s="46"/>
      <c r="N47" s="117"/>
      <c r="O47" s="119"/>
      <c r="P47" s="119"/>
      <c r="Q47" s="120"/>
      <c r="R47" s="193"/>
      <c r="S47" s="194"/>
      <c r="T47" s="195"/>
      <c r="U47" s="195"/>
      <c r="V47" s="195"/>
      <c r="W47" s="195"/>
      <c r="X47" s="195"/>
      <c r="Y47" s="195"/>
      <c r="Z47" s="195"/>
      <c r="AA47" s="195"/>
    </row>
    <row r="48" ht="20.25" customHeight="1">
      <c r="A48" s="192"/>
      <c r="B48" s="118"/>
      <c r="C48" s="119"/>
      <c r="D48" s="120"/>
      <c r="E48" s="119"/>
      <c r="F48" s="119"/>
      <c r="G48" s="119"/>
      <c r="H48" s="119"/>
      <c r="I48" s="117"/>
      <c r="J48" s="118"/>
      <c r="K48" s="46"/>
      <c r="L48" s="46"/>
      <c r="M48" s="46"/>
      <c r="N48" s="117"/>
      <c r="O48" s="119"/>
      <c r="P48" s="119"/>
      <c r="Q48" s="120"/>
      <c r="R48" s="193"/>
      <c r="S48" s="194"/>
      <c r="T48" s="195"/>
      <c r="U48" s="195"/>
      <c r="V48" s="195"/>
      <c r="W48" s="195"/>
      <c r="X48" s="195"/>
      <c r="Y48" s="195"/>
      <c r="Z48" s="195"/>
      <c r="AA48" s="195"/>
    </row>
    <row r="49" ht="20.25" customHeight="1">
      <c r="A49" s="192"/>
      <c r="B49" s="118"/>
      <c r="C49" s="119"/>
      <c r="D49" s="120"/>
      <c r="E49" s="119"/>
      <c r="F49" s="119"/>
      <c r="G49" s="119"/>
      <c r="H49" s="119"/>
      <c r="I49" s="117"/>
      <c r="J49" s="118"/>
      <c r="K49" s="46"/>
      <c r="L49" s="46"/>
      <c r="M49" s="46"/>
      <c r="N49" s="117"/>
      <c r="O49" s="119"/>
      <c r="P49" s="119"/>
      <c r="Q49" s="120"/>
      <c r="R49" s="193"/>
      <c r="S49" s="194"/>
      <c r="T49" s="195"/>
      <c r="U49" s="195"/>
      <c r="V49" s="195"/>
      <c r="W49" s="195"/>
      <c r="X49" s="195"/>
      <c r="Y49" s="195"/>
      <c r="Z49" s="195"/>
      <c r="AA49" s="195"/>
    </row>
    <row r="50" ht="20.25" customHeight="1">
      <c r="A50" s="192"/>
      <c r="B50" s="118"/>
      <c r="C50" s="119"/>
      <c r="D50" s="120"/>
      <c r="E50" s="119"/>
      <c r="F50" s="119"/>
      <c r="G50" s="119"/>
      <c r="H50" s="119"/>
      <c r="I50" s="117"/>
      <c r="J50" s="118"/>
      <c r="K50" s="46"/>
      <c r="L50" s="46"/>
      <c r="M50" s="46"/>
      <c r="N50" s="117"/>
      <c r="O50" s="119"/>
      <c r="P50" s="119"/>
      <c r="Q50" s="120"/>
      <c r="R50" s="193"/>
      <c r="S50" s="194"/>
      <c r="T50" s="195"/>
      <c r="U50" s="195"/>
      <c r="V50" s="195"/>
      <c r="W50" s="195"/>
      <c r="X50" s="195"/>
      <c r="Y50" s="195"/>
      <c r="Z50" s="195"/>
      <c r="AA50" s="195"/>
    </row>
    <row r="51" ht="20.25" customHeight="1">
      <c r="A51" s="192"/>
      <c r="B51" s="118"/>
      <c r="C51" s="119"/>
      <c r="D51" s="120"/>
      <c r="E51" s="119"/>
      <c r="F51" s="119"/>
      <c r="G51" s="119"/>
      <c r="H51" s="119"/>
      <c r="I51" s="117"/>
      <c r="J51" s="118"/>
      <c r="K51" s="46"/>
      <c r="L51" s="46"/>
      <c r="M51" s="46"/>
      <c r="N51" s="117"/>
      <c r="O51" s="119"/>
      <c r="P51" s="119"/>
      <c r="Q51" s="120"/>
      <c r="R51" s="193"/>
      <c r="S51" s="194"/>
      <c r="T51" s="195"/>
      <c r="U51" s="195"/>
      <c r="V51" s="195"/>
      <c r="W51" s="195"/>
      <c r="X51" s="195"/>
      <c r="Y51" s="195"/>
      <c r="Z51" s="195"/>
      <c r="AA51" s="195"/>
    </row>
    <row r="52" ht="20.25" customHeight="1">
      <c r="A52" s="192"/>
      <c r="B52" s="118"/>
      <c r="C52" s="119"/>
      <c r="D52" s="120"/>
      <c r="E52" s="119"/>
      <c r="F52" s="119"/>
      <c r="G52" s="119"/>
      <c r="H52" s="119"/>
      <c r="I52" s="117"/>
      <c r="J52" s="118"/>
      <c r="K52" s="46"/>
      <c r="L52" s="46"/>
      <c r="M52" s="46"/>
      <c r="N52" s="117"/>
      <c r="O52" s="119"/>
      <c r="P52" s="119"/>
      <c r="Q52" s="120"/>
      <c r="R52" s="193"/>
      <c r="S52" s="194"/>
      <c r="T52" s="195"/>
      <c r="U52" s="195"/>
      <c r="V52" s="195"/>
      <c r="W52" s="195"/>
      <c r="X52" s="195"/>
      <c r="Y52" s="195"/>
      <c r="Z52" s="195"/>
      <c r="AA52" s="195"/>
    </row>
    <row r="53" ht="20.25" customHeight="1">
      <c r="A53" s="192"/>
      <c r="B53" s="118"/>
      <c r="C53" s="119"/>
      <c r="D53" s="120"/>
      <c r="E53" s="119"/>
      <c r="F53" s="119"/>
      <c r="G53" s="119"/>
      <c r="H53" s="119"/>
      <c r="I53" s="117"/>
      <c r="J53" s="118"/>
      <c r="K53" s="46"/>
      <c r="L53" s="46"/>
      <c r="M53" s="46"/>
      <c r="N53" s="117"/>
      <c r="O53" s="119"/>
      <c r="P53" s="119"/>
      <c r="Q53" s="120"/>
      <c r="R53" s="193"/>
      <c r="S53" s="194"/>
      <c r="T53" s="195"/>
      <c r="U53" s="195"/>
      <c r="V53" s="195"/>
      <c r="W53" s="195"/>
      <c r="X53" s="195"/>
      <c r="Y53" s="195"/>
      <c r="Z53" s="195"/>
      <c r="AA53" s="195"/>
    </row>
    <row r="54" ht="20.25" customHeight="1">
      <c r="A54" s="192"/>
      <c r="B54" s="118"/>
      <c r="C54" s="119"/>
      <c r="D54" s="120"/>
      <c r="E54" s="119"/>
      <c r="F54" s="119"/>
      <c r="G54" s="119"/>
      <c r="H54" s="119"/>
      <c r="I54" s="117"/>
      <c r="J54" s="118"/>
      <c r="K54" s="46"/>
      <c r="L54" s="46"/>
      <c r="M54" s="46"/>
      <c r="N54" s="117"/>
      <c r="O54" s="119"/>
      <c r="P54" s="119"/>
      <c r="Q54" s="120"/>
      <c r="R54" s="193"/>
      <c r="S54" s="194"/>
      <c r="T54" s="195"/>
      <c r="U54" s="195"/>
      <c r="V54" s="195"/>
      <c r="W54" s="195"/>
      <c r="X54" s="195"/>
      <c r="Y54" s="195"/>
      <c r="Z54" s="195"/>
      <c r="AA54" s="195"/>
    </row>
    <row r="55" ht="20.25" customHeight="1">
      <c r="A55" s="192"/>
      <c r="B55" s="118"/>
      <c r="C55" s="119"/>
      <c r="D55" s="120"/>
      <c r="E55" s="119"/>
      <c r="F55" s="119"/>
      <c r="G55" s="119"/>
      <c r="H55" s="119"/>
      <c r="I55" s="117"/>
      <c r="J55" s="118"/>
      <c r="K55" s="46"/>
      <c r="L55" s="46"/>
      <c r="M55" s="46"/>
      <c r="N55" s="117"/>
      <c r="O55" s="119"/>
      <c r="P55" s="119"/>
      <c r="Q55" s="120"/>
      <c r="R55" s="193"/>
      <c r="S55" s="194"/>
      <c r="T55" s="195"/>
      <c r="U55" s="195"/>
      <c r="V55" s="195"/>
      <c r="W55" s="195"/>
      <c r="X55" s="195"/>
      <c r="Y55" s="195"/>
      <c r="Z55" s="195"/>
      <c r="AA55" s="195"/>
    </row>
    <row r="56" ht="20.25" customHeight="1">
      <c r="A56" s="192"/>
      <c r="B56" s="118"/>
      <c r="C56" s="119"/>
      <c r="D56" s="120"/>
      <c r="E56" s="119"/>
      <c r="F56" s="119"/>
      <c r="G56" s="119"/>
      <c r="H56" s="119"/>
      <c r="I56" s="117"/>
      <c r="J56" s="118"/>
      <c r="K56" s="46"/>
      <c r="L56" s="46"/>
      <c r="M56" s="46"/>
      <c r="N56" s="117"/>
      <c r="O56" s="119"/>
      <c r="P56" s="119"/>
      <c r="Q56" s="120"/>
      <c r="R56" s="193"/>
      <c r="S56" s="194"/>
      <c r="T56" s="195"/>
      <c r="U56" s="195"/>
      <c r="V56" s="195"/>
      <c r="W56" s="195"/>
      <c r="X56" s="195"/>
      <c r="Y56" s="195"/>
      <c r="Z56" s="195"/>
      <c r="AA56" s="195"/>
    </row>
    <row r="57" ht="20.25" customHeight="1">
      <c r="A57" s="192"/>
      <c r="B57" s="118"/>
      <c r="C57" s="119"/>
      <c r="D57" s="120"/>
      <c r="E57" s="119"/>
      <c r="F57" s="119"/>
      <c r="G57" s="119"/>
      <c r="H57" s="119"/>
      <c r="I57" s="117"/>
      <c r="J57" s="118"/>
      <c r="K57" s="46"/>
      <c r="L57" s="46"/>
      <c r="M57" s="46"/>
      <c r="N57" s="117"/>
      <c r="O57" s="119"/>
      <c r="P57" s="119"/>
      <c r="Q57" s="120"/>
      <c r="R57" s="193"/>
      <c r="S57" s="194"/>
      <c r="T57" s="195"/>
      <c r="U57" s="195"/>
      <c r="V57" s="195"/>
      <c r="W57" s="195"/>
      <c r="X57" s="195"/>
      <c r="Y57" s="195"/>
      <c r="Z57" s="195"/>
      <c r="AA57" s="195"/>
    </row>
    <row r="58" ht="20.25" customHeight="1">
      <c r="A58" s="192"/>
      <c r="B58" s="118"/>
      <c r="C58" s="119"/>
      <c r="D58" s="120"/>
      <c r="E58" s="119"/>
      <c r="F58" s="119"/>
      <c r="G58" s="119"/>
      <c r="H58" s="119"/>
      <c r="I58" s="117"/>
      <c r="J58" s="118"/>
      <c r="K58" s="46"/>
      <c r="L58" s="46"/>
      <c r="M58" s="46"/>
      <c r="N58" s="117"/>
      <c r="O58" s="119"/>
      <c r="P58" s="119"/>
      <c r="Q58" s="120"/>
      <c r="R58" s="193"/>
      <c r="S58" s="194"/>
      <c r="T58" s="195"/>
      <c r="U58" s="195"/>
      <c r="V58" s="195"/>
      <c r="W58" s="195"/>
      <c r="X58" s="195"/>
      <c r="Y58" s="195"/>
      <c r="Z58" s="195"/>
      <c r="AA58" s="195"/>
    </row>
    <row r="59" ht="20.25" customHeight="1">
      <c r="A59" s="192"/>
      <c r="B59" s="118"/>
      <c r="C59" s="119"/>
      <c r="D59" s="120"/>
      <c r="E59" s="119"/>
      <c r="F59" s="119"/>
      <c r="G59" s="119"/>
      <c r="H59" s="119"/>
      <c r="I59" s="117"/>
      <c r="J59" s="118"/>
      <c r="K59" s="46"/>
      <c r="L59" s="46"/>
      <c r="M59" s="46"/>
      <c r="N59" s="117"/>
      <c r="O59" s="119"/>
      <c r="P59" s="119"/>
      <c r="Q59" s="120"/>
      <c r="R59" s="193"/>
      <c r="S59" s="194"/>
      <c r="T59" s="195"/>
      <c r="U59" s="195"/>
      <c r="V59" s="195"/>
      <c r="W59" s="195"/>
      <c r="X59" s="195"/>
      <c r="Y59" s="195"/>
      <c r="Z59" s="195"/>
      <c r="AA59" s="195"/>
    </row>
    <row r="60" ht="20.25" customHeight="1">
      <c r="A60" s="192"/>
      <c r="B60" s="118"/>
      <c r="C60" s="119"/>
      <c r="D60" s="120"/>
      <c r="E60" s="119"/>
      <c r="F60" s="119"/>
      <c r="G60" s="119"/>
      <c r="H60" s="119"/>
      <c r="I60" s="117"/>
      <c r="J60" s="118"/>
      <c r="K60" s="46"/>
      <c r="L60" s="46"/>
      <c r="M60" s="46"/>
      <c r="N60" s="117"/>
      <c r="O60" s="119"/>
      <c r="P60" s="119"/>
      <c r="Q60" s="120"/>
      <c r="R60" s="193"/>
      <c r="S60" s="194"/>
      <c r="T60" s="195"/>
      <c r="U60" s="195"/>
      <c r="V60" s="195"/>
      <c r="W60" s="195"/>
      <c r="X60" s="195"/>
      <c r="Y60" s="195"/>
      <c r="Z60" s="195"/>
      <c r="AA60" s="195"/>
    </row>
    <row r="61" ht="20.25" customHeight="1">
      <c r="A61" s="192"/>
      <c r="B61" s="118"/>
      <c r="C61" s="119"/>
      <c r="D61" s="120"/>
      <c r="E61" s="119"/>
      <c r="F61" s="119"/>
      <c r="G61" s="119"/>
      <c r="H61" s="119"/>
      <c r="I61" s="117"/>
      <c r="J61" s="118"/>
      <c r="K61" s="46"/>
      <c r="L61" s="46"/>
      <c r="M61" s="46"/>
      <c r="N61" s="117"/>
      <c r="O61" s="119"/>
      <c r="P61" s="119"/>
      <c r="Q61" s="120"/>
      <c r="R61" s="193"/>
      <c r="S61" s="194"/>
      <c r="T61" s="195"/>
      <c r="U61" s="195"/>
      <c r="V61" s="195"/>
      <c r="W61" s="195"/>
      <c r="X61" s="195"/>
      <c r="Y61" s="195"/>
      <c r="Z61" s="195"/>
      <c r="AA61" s="195"/>
    </row>
    <row r="62" ht="20.25" customHeight="1">
      <c r="A62" s="192"/>
      <c r="B62" s="118"/>
      <c r="C62" s="119"/>
      <c r="D62" s="120"/>
      <c r="E62" s="119"/>
      <c r="F62" s="119"/>
      <c r="G62" s="119"/>
      <c r="H62" s="119"/>
      <c r="I62" s="117"/>
      <c r="J62" s="118"/>
      <c r="K62" s="46"/>
      <c r="L62" s="46"/>
      <c r="M62" s="46"/>
      <c r="N62" s="117"/>
      <c r="O62" s="119"/>
      <c r="P62" s="119"/>
      <c r="Q62" s="120"/>
      <c r="R62" s="193"/>
      <c r="S62" s="194"/>
      <c r="T62" s="195"/>
      <c r="U62" s="195"/>
      <c r="V62" s="195"/>
      <c r="W62" s="195"/>
      <c r="X62" s="195"/>
      <c r="Y62" s="195"/>
      <c r="Z62" s="195"/>
      <c r="AA62" s="195"/>
    </row>
    <row r="63" ht="20.25" customHeight="1">
      <c r="A63" s="192"/>
      <c r="B63" s="118"/>
      <c r="C63" s="119"/>
      <c r="D63" s="120"/>
      <c r="E63" s="119"/>
      <c r="F63" s="119"/>
      <c r="G63" s="119"/>
      <c r="H63" s="119"/>
      <c r="I63" s="117"/>
      <c r="J63" s="118"/>
      <c r="K63" s="46"/>
      <c r="L63" s="46"/>
      <c r="M63" s="46"/>
      <c r="N63" s="117"/>
      <c r="O63" s="119"/>
      <c r="P63" s="119"/>
      <c r="Q63" s="120"/>
      <c r="R63" s="193"/>
      <c r="S63" s="194"/>
      <c r="T63" s="195"/>
      <c r="U63" s="195"/>
      <c r="V63" s="195"/>
      <c r="W63" s="195"/>
      <c r="X63" s="195"/>
      <c r="Y63" s="195"/>
      <c r="Z63" s="195"/>
      <c r="AA63" s="195"/>
    </row>
    <row r="64" ht="20.25" customHeight="1">
      <c r="A64" s="192"/>
      <c r="B64" s="118"/>
      <c r="C64" s="119"/>
      <c r="D64" s="120"/>
      <c r="E64" s="119"/>
      <c r="F64" s="119"/>
      <c r="G64" s="119"/>
      <c r="H64" s="119"/>
      <c r="I64" s="117"/>
      <c r="J64" s="118"/>
      <c r="K64" s="46"/>
      <c r="L64" s="46"/>
      <c r="M64" s="46"/>
      <c r="N64" s="117"/>
      <c r="O64" s="119"/>
      <c r="P64" s="119"/>
      <c r="Q64" s="120"/>
      <c r="R64" s="193"/>
      <c r="S64" s="194"/>
      <c r="T64" s="195"/>
      <c r="U64" s="195"/>
      <c r="V64" s="195"/>
      <c r="W64" s="195"/>
      <c r="X64" s="195"/>
      <c r="Y64" s="195"/>
      <c r="Z64" s="195"/>
      <c r="AA64" s="195"/>
    </row>
    <row r="65" ht="20.25" customHeight="1">
      <c r="A65" s="192"/>
      <c r="B65" s="118"/>
      <c r="C65" s="119"/>
      <c r="D65" s="120"/>
      <c r="E65" s="119"/>
      <c r="F65" s="119"/>
      <c r="G65" s="119"/>
      <c r="H65" s="119"/>
      <c r="I65" s="117"/>
      <c r="J65" s="118"/>
      <c r="K65" s="46"/>
      <c r="L65" s="46"/>
      <c r="M65" s="46"/>
      <c r="N65" s="117"/>
      <c r="O65" s="119"/>
      <c r="P65" s="119"/>
      <c r="Q65" s="120"/>
      <c r="R65" s="193"/>
      <c r="S65" s="194"/>
      <c r="T65" s="195"/>
      <c r="U65" s="195"/>
      <c r="V65" s="195"/>
      <c r="W65" s="195"/>
      <c r="X65" s="195"/>
      <c r="Y65" s="195"/>
      <c r="Z65" s="195"/>
      <c r="AA65" s="195"/>
    </row>
    <row r="66" ht="20.25" customHeight="1">
      <c r="A66" s="192"/>
      <c r="B66" s="118"/>
      <c r="C66" s="119"/>
      <c r="D66" s="120"/>
      <c r="E66" s="119"/>
      <c r="F66" s="119"/>
      <c r="G66" s="119"/>
      <c r="H66" s="119"/>
      <c r="I66" s="117"/>
      <c r="J66" s="118"/>
      <c r="K66" s="46"/>
      <c r="L66" s="46"/>
      <c r="M66" s="46"/>
      <c r="N66" s="117"/>
      <c r="O66" s="119"/>
      <c r="P66" s="119"/>
      <c r="Q66" s="120"/>
      <c r="R66" s="193"/>
      <c r="S66" s="194"/>
      <c r="T66" s="195"/>
      <c r="U66" s="195"/>
      <c r="V66" s="195"/>
      <c r="W66" s="195"/>
      <c r="X66" s="195"/>
      <c r="Y66" s="195"/>
      <c r="Z66" s="195"/>
      <c r="AA66" s="195"/>
    </row>
    <row r="67" ht="20.25" customHeight="1">
      <c r="A67" s="192"/>
      <c r="B67" s="118"/>
      <c r="C67" s="119"/>
      <c r="D67" s="120"/>
      <c r="E67" s="119"/>
      <c r="F67" s="119"/>
      <c r="G67" s="119"/>
      <c r="H67" s="119"/>
      <c r="I67" s="117"/>
      <c r="J67" s="118"/>
      <c r="K67" s="46"/>
      <c r="L67" s="46"/>
      <c r="M67" s="46"/>
      <c r="N67" s="117"/>
      <c r="O67" s="119"/>
      <c r="P67" s="119"/>
      <c r="Q67" s="120"/>
      <c r="R67" s="193"/>
      <c r="S67" s="194"/>
      <c r="T67" s="195"/>
      <c r="U67" s="195"/>
      <c r="V67" s="195"/>
      <c r="W67" s="195"/>
      <c r="X67" s="195"/>
      <c r="Y67" s="195"/>
      <c r="Z67" s="195"/>
      <c r="AA67" s="195"/>
    </row>
    <row r="68" ht="20.25" customHeight="1">
      <c r="A68" s="192"/>
      <c r="B68" s="118"/>
      <c r="C68" s="119"/>
      <c r="D68" s="120"/>
      <c r="E68" s="119"/>
      <c r="F68" s="119"/>
      <c r="G68" s="119"/>
      <c r="H68" s="119"/>
      <c r="I68" s="117"/>
      <c r="J68" s="118"/>
      <c r="K68" s="46"/>
      <c r="L68" s="46"/>
      <c r="M68" s="46"/>
      <c r="N68" s="117"/>
      <c r="O68" s="119"/>
      <c r="P68" s="119"/>
      <c r="Q68" s="120"/>
      <c r="R68" s="193"/>
      <c r="S68" s="194"/>
      <c r="T68" s="195"/>
      <c r="U68" s="195"/>
      <c r="V68" s="195"/>
      <c r="W68" s="195"/>
      <c r="X68" s="195"/>
      <c r="Y68" s="195"/>
      <c r="Z68" s="195"/>
      <c r="AA68" s="195"/>
    </row>
    <row r="69" ht="20.25" customHeight="1">
      <c r="A69" s="192"/>
      <c r="B69" s="118"/>
      <c r="C69" s="119"/>
      <c r="D69" s="120"/>
      <c r="E69" s="119"/>
      <c r="F69" s="119"/>
      <c r="G69" s="119"/>
      <c r="H69" s="119"/>
      <c r="I69" s="117"/>
      <c r="J69" s="118"/>
      <c r="K69" s="46"/>
      <c r="L69" s="46"/>
      <c r="M69" s="46"/>
      <c r="N69" s="117"/>
      <c r="O69" s="119"/>
      <c r="P69" s="119"/>
      <c r="Q69" s="120"/>
      <c r="R69" s="193"/>
      <c r="S69" s="194"/>
      <c r="T69" s="195"/>
      <c r="U69" s="195"/>
      <c r="V69" s="195"/>
      <c r="W69" s="195"/>
      <c r="X69" s="195"/>
      <c r="Y69" s="195"/>
      <c r="Z69" s="195"/>
      <c r="AA69" s="195"/>
    </row>
    <row r="70" ht="20.25" customHeight="1">
      <c r="A70" s="192"/>
      <c r="B70" s="118"/>
      <c r="C70" s="119"/>
      <c r="D70" s="120"/>
      <c r="E70" s="119"/>
      <c r="F70" s="119"/>
      <c r="G70" s="119"/>
      <c r="H70" s="119"/>
      <c r="I70" s="117"/>
      <c r="J70" s="118"/>
      <c r="K70" s="46"/>
      <c r="L70" s="46"/>
      <c r="M70" s="46"/>
      <c r="N70" s="117"/>
      <c r="O70" s="119"/>
      <c r="P70" s="119"/>
      <c r="Q70" s="120"/>
      <c r="R70" s="193"/>
      <c r="S70" s="194"/>
      <c r="T70" s="195"/>
      <c r="U70" s="195"/>
      <c r="V70" s="195"/>
      <c r="W70" s="195"/>
      <c r="X70" s="195"/>
      <c r="Y70" s="195"/>
      <c r="Z70" s="195"/>
      <c r="AA70" s="195"/>
    </row>
    <row r="71" ht="20.25" customHeight="1">
      <c r="A71" s="192"/>
      <c r="B71" s="118"/>
      <c r="C71" s="119"/>
      <c r="D71" s="120"/>
      <c r="E71" s="119"/>
      <c r="F71" s="119"/>
      <c r="G71" s="119"/>
      <c r="H71" s="119"/>
      <c r="I71" s="117"/>
      <c r="J71" s="118"/>
      <c r="K71" s="46"/>
      <c r="L71" s="46"/>
      <c r="M71" s="46"/>
      <c r="N71" s="117"/>
      <c r="O71" s="119"/>
      <c r="P71" s="119"/>
      <c r="Q71" s="120"/>
      <c r="R71" s="193"/>
      <c r="S71" s="194"/>
      <c r="T71" s="195"/>
      <c r="U71" s="195"/>
      <c r="V71" s="195"/>
      <c r="W71" s="195"/>
      <c r="X71" s="195"/>
      <c r="Y71" s="195"/>
      <c r="Z71" s="195"/>
      <c r="AA71" s="195"/>
    </row>
    <row r="72" ht="20.25" customHeight="1">
      <c r="A72" s="192"/>
      <c r="B72" s="118"/>
      <c r="C72" s="119"/>
      <c r="D72" s="120"/>
      <c r="E72" s="119"/>
      <c r="F72" s="119"/>
      <c r="G72" s="119"/>
      <c r="H72" s="119"/>
      <c r="I72" s="117"/>
      <c r="J72" s="118"/>
      <c r="K72" s="46"/>
      <c r="L72" s="46"/>
      <c r="M72" s="46"/>
      <c r="N72" s="117"/>
      <c r="O72" s="119"/>
      <c r="P72" s="119"/>
      <c r="Q72" s="120"/>
      <c r="R72" s="193"/>
      <c r="S72" s="194"/>
      <c r="T72" s="195"/>
      <c r="U72" s="195"/>
      <c r="V72" s="195"/>
      <c r="W72" s="195"/>
      <c r="X72" s="195"/>
      <c r="Y72" s="195"/>
      <c r="Z72" s="195"/>
      <c r="AA72" s="195"/>
    </row>
    <row r="73" ht="20.25" customHeight="1">
      <c r="A73" s="192"/>
      <c r="B73" s="118"/>
      <c r="C73" s="119"/>
      <c r="D73" s="120"/>
      <c r="E73" s="119"/>
      <c r="F73" s="119"/>
      <c r="G73" s="119"/>
      <c r="H73" s="119"/>
      <c r="I73" s="117"/>
      <c r="J73" s="118"/>
      <c r="K73" s="46"/>
      <c r="L73" s="46"/>
      <c r="M73" s="46"/>
      <c r="N73" s="117"/>
      <c r="O73" s="119"/>
      <c r="P73" s="119"/>
      <c r="Q73" s="120"/>
      <c r="R73" s="193"/>
      <c r="S73" s="194"/>
      <c r="T73" s="195"/>
      <c r="U73" s="195"/>
      <c r="V73" s="195"/>
      <c r="W73" s="195"/>
      <c r="X73" s="195"/>
      <c r="Y73" s="195"/>
      <c r="Z73" s="195"/>
      <c r="AA73" s="195"/>
    </row>
    <row r="74" ht="20.25" customHeight="1">
      <c r="A74" s="192"/>
      <c r="B74" s="118"/>
      <c r="C74" s="119"/>
      <c r="D74" s="120"/>
      <c r="E74" s="119"/>
      <c r="F74" s="119"/>
      <c r="G74" s="119"/>
      <c r="H74" s="119"/>
      <c r="I74" s="117"/>
      <c r="J74" s="118"/>
      <c r="K74" s="46"/>
      <c r="L74" s="46"/>
      <c r="M74" s="46"/>
      <c r="N74" s="117"/>
      <c r="O74" s="119"/>
      <c r="P74" s="119"/>
      <c r="Q74" s="120"/>
      <c r="R74" s="193"/>
      <c r="S74" s="194"/>
      <c r="T74" s="195"/>
      <c r="U74" s="195"/>
      <c r="V74" s="195"/>
      <c r="W74" s="195"/>
      <c r="X74" s="195"/>
      <c r="Y74" s="195"/>
      <c r="Z74" s="195"/>
      <c r="AA74" s="195"/>
    </row>
    <row r="75" ht="20.25" customHeight="1">
      <c r="A75" s="192"/>
      <c r="B75" s="118"/>
      <c r="C75" s="119"/>
      <c r="D75" s="120"/>
      <c r="E75" s="119"/>
      <c r="F75" s="119"/>
      <c r="G75" s="119"/>
      <c r="H75" s="119"/>
      <c r="I75" s="117"/>
      <c r="J75" s="118"/>
      <c r="K75" s="46"/>
      <c r="L75" s="46"/>
      <c r="M75" s="46"/>
      <c r="N75" s="117"/>
      <c r="O75" s="119"/>
      <c r="P75" s="119"/>
      <c r="Q75" s="120"/>
      <c r="R75" s="193"/>
      <c r="S75" s="194"/>
      <c r="T75" s="195"/>
      <c r="U75" s="195"/>
      <c r="V75" s="195"/>
      <c r="W75" s="195"/>
      <c r="X75" s="195"/>
      <c r="Y75" s="195"/>
      <c r="Z75" s="195"/>
      <c r="AA75" s="195"/>
    </row>
    <row r="76" ht="20.25" customHeight="1">
      <c r="A76" s="192"/>
      <c r="B76" s="118"/>
      <c r="C76" s="119"/>
      <c r="D76" s="120"/>
      <c r="E76" s="119"/>
      <c r="F76" s="119"/>
      <c r="G76" s="119"/>
      <c r="H76" s="119"/>
      <c r="I76" s="117"/>
      <c r="J76" s="118"/>
      <c r="K76" s="46"/>
      <c r="L76" s="46"/>
      <c r="M76" s="46"/>
      <c r="N76" s="117"/>
      <c r="O76" s="119"/>
      <c r="P76" s="119"/>
      <c r="Q76" s="120"/>
      <c r="R76" s="193"/>
      <c r="S76" s="194"/>
      <c r="T76" s="195"/>
      <c r="U76" s="195"/>
      <c r="V76" s="195"/>
      <c r="W76" s="195"/>
      <c r="X76" s="195"/>
      <c r="Y76" s="195"/>
      <c r="Z76" s="195"/>
      <c r="AA76" s="195"/>
    </row>
    <row r="77" ht="20.25" customHeight="1">
      <c r="A77" s="192"/>
      <c r="B77" s="118"/>
      <c r="C77" s="119"/>
      <c r="D77" s="120"/>
      <c r="E77" s="119"/>
      <c r="F77" s="119"/>
      <c r="G77" s="119"/>
      <c r="H77" s="119"/>
      <c r="I77" s="117"/>
      <c r="J77" s="118"/>
      <c r="K77" s="46"/>
      <c r="L77" s="46"/>
      <c r="M77" s="46"/>
      <c r="N77" s="117"/>
      <c r="O77" s="119"/>
      <c r="P77" s="119"/>
      <c r="Q77" s="120"/>
      <c r="R77" s="193"/>
      <c r="S77" s="194"/>
      <c r="T77" s="195"/>
      <c r="U77" s="195"/>
      <c r="V77" s="195"/>
      <c r="W77" s="195"/>
      <c r="X77" s="195"/>
      <c r="Y77" s="195"/>
      <c r="Z77" s="195"/>
      <c r="AA77" s="195"/>
    </row>
    <row r="78" ht="20.25" customHeight="1">
      <c r="A78" s="192"/>
      <c r="B78" s="118"/>
      <c r="C78" s="119"/>
      <c r="D78" s="120"/>
      <c r="E78" s="119"/>
      <c r="F78" s="119"/>
      <c r="G78" s="119"/>
      <c r="H78" s="119"/>
      <c r="I78" s="117"/>
      <c r="J78" s="118"/>
      <c r="K78" s="46"/>
      <c r="L78" s="46"/>
      <c r="M78" s="46"/>
      <c r="N78" s="117"/>
      <c r="O78" s="119"/>
      <c r="P78" s="119"/>
      <c r="Q78" s="120"/>
      <c r="R78" s="193"/>
      <c r="S78" s="194"/>
      <c r="T78" s="195"/>
      <c r="U78" s="195"/>
      <c r="V78" s="195"/>
      <c r="W78" s="195"/>
      <c r="X78" s="195"/>
      <c r="Y78" s="195"/>
      <c r="Z78" s="195"/>
      <c r="AA78" s="195"/>
    </row>
    <row r="79" ht="20.25" customHeight="1">
      <c r="A79" s="192"/>
      <c r="B79" s="118"/>
      <c r="C79" s="119"/>
      <c r="D79" s="120"/>
      <c r="E79" s="119"/>
      <c r="F79" s="119"/>
      <c r="G79" s="119"/>
      <c r="H79" s="119"/>
      <c r="I79" s="117"/>
      <c r="J79" s="118"/>
      <c r="K79" s="46"/>
      <c r="L79" s="46"/>
      <c r="M79" s="46"/>
      <c r="N79" s="117"/>
      <c r="O79" s="119"/>
      <c r="P79" s="119"/>
      <c r="Q79" s="120"/>
      <c r="R79" s="193"/>
      <c r="S79" s="194"/>
      <c r="T79" s="195"/>
      <c r="U79" s="195"/>
      <c r="V79" s="195"/>
      <c r="W79" s="195"/>
      <c r="X79" s="195"/>
      <c r="Y79" s="195"/>
      <c r="Z79" s="195"/>
      <c r="AA79" s="195"/>
    </row>
    <row r="80" ht="20.25" customHeight="1">
      <c r="A80" s="192"/>
      <c r="B80" s="118"/>
      <c r="C80" s="119"/>
      <c r="D80" s="120"/>
      <c r="E80" s="119"/>
      <c r="F80" s="119"/>
      <c r="G80" s="119"/>
      <c r="H80" s="119"/>
      <c r="I80" s="117"/>
      <c r="J80" s="118"/>
      <c r="K80" s="46"/>
      <c r="L80" s="46"/>
      <c r="M80" s="46"/>
      <c r="N80" s="117"/>
      <c r="O80" s="119"/>
      <c r="P80" s="119"/>
      <c r="Q80" s="120"/>
      <c r="R80" s="193"/>
      <c r="S80" s="194"/>
      <c r="T80" s="195"/>
      <c r="U80" s="195"/>
      <c r="V80" s="195"/>
      <c r="W80" s="195"/>
      <c r="X80" s="195"/>
      <c r="Y80" s="195"/>
      <c r="Z80" s="195"/>
      <c r="AA80" s="195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</sheetData>
  <mergeCells count="82">
    <mergeCell ref="J48:M48"/>
    <mergeCell ref="J49:M49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68:M68"/>
    <mergeCell ref="J76:M76"/>
    <mergeCell ref="J77:M77"/>
    <mergeCell ref="J78:M78"/>
    <mergeCell ref="J79:M79"/>
    <mergeCell ref="J80:M80"/>
    <mergeCell ref="J69:M69"/>
    <mergeCell ref="J70:M70"/>
    <mergeCell ref="J71:M71"/>
    <mergeCell ref="J72:M72"/>
    <mergeCell ref="J73:M73"/>
    <mergeCell ref="J74:M74"/>
    <mergeCell ref="J75:M75"/>
    <mergeCell ref="C1:C4"/>
    <mergeCell ref="D1:D2"/>
    <mergeCell ref="E1:E2"/>
    <mergeCell ref="G1:H2"/>
    <mergeCell ref="J1:K1"/>
    <mergeCell ref="J5:K5"/>
    <mergeCell ref="I6:K6"/>
    <mergeCell ref="I7:J7"/>
    <mergeCell ref="J8:L8"/>
    <mergeCell ref="G9:H9"/>
    <mergeCell ref="J9:M9"/>
    <mergeCell ref="O9:P9"/>
    <mergeCell ref="J11:M11"/>
    <mergeCell ref="J12:M12"/>
    <mergeCell ref="J13:M13"/>
    <mergeCell ref="J14:M14"/>
    <mergeCell ref="J15:M15"/>
    <mergeCell ref="J16:M16"/>
    <mergeCell ref="J17:M17"/>
    <mergeCell ref="J18:M18"/>
    <mergeCell ref="J19:M19"/>
    <mergeCell ref="J20:M20"/>
    <mergeCell ref="J21:M21"/>
    <mergeCell ref="J22:M22"/>
    <mergeCell ref="J23:M23"/>
    <mergeCell ref="J24:M24"/>
    <mergeCell ref="J25:M25"/>
    <mergeCell ref="J26:M26"/>
    <mergeCell ref="J27:M27"/>
    <mergeCell ref="J28:M28"/>
    <mergeCell ref="J29:M2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39:M39"/>
    <mergeCell ref="J40:M40"/>
    <mergeCell ref="J41:M41"/>
    <mergeCell ref="J42:M42"/>
    <mergeCell ref="J43:M43"/>
    <mergeCell ref="J44:M44"/>
    <mergeCell ref="J45:M45"/>
    <mergeCell ref="J46:M46"/>
    <mergeCell ref="J47:M47"/>
  </mergeCells>
  <conditionalFormatting sqref="C11:C80 E11:E80 G11:G80">
    <cfRule type="expression" dxfId="10" priority="1">
      <formula>$A11="NESSUNA VENDITA"</formula>
    </cfRule>
  </conditionalFormatting>
  <conditionalFormatting sqref="A11:AA80">
    <cfRule type="expression" dxfId="8" priority="2">
      <formula>$A11="ATTESA DOCUMENTAZIONE"</formula>
    </cfRule>
  </conditionalFormatting>
  <conditionalFormatting sqref="A11:AA80">
    <cfRule type="expression" dxfId="9" priority="3">
      <formula>$A11="ATTESA OK ANESTESISTI"</formula>
    </cfRule>
  </conditionalFormatting>
  <conditionalFormatting sqref="A11:AA80">
    <cfRule type="expression" dxfId="11" priority="4">
      <formula>$A11="RICHIAMERA' / RICHIAMARE"</formula>
    </cfRule>
  </conditionalFormatting>
  <conditionalFormatting sqref="A11:AA80">
    <cfRule type="expression" dxfId="18" priority="5">
      <formula>$A11="INZIA IL TRATTAMENTO-VENDITA"</formula>
    </cfRule>
  </conditionalFormatting>
  <conditionalFormatting sqref="A11:AA80">
    <cfRule type="expression" dxfId="8" priority="6">
      <formula>$A11="APPUNTAMENTO PER INZIARE TRATTAMENTO=PAGAMENTO/DOCUMENTAZIONE"</formula>
    </cfRule>
  </conditionalFormatting>
  <conditionalFormatting sqref="A11:AA80">
    <cfRule type="expression" dxfId="13" priority="7">
      <formula>$A11="NESSUNA VENDITA"</formula>
    </cfRule>
  </conditionalFormatting>
  <conditionalFormatting sqref="P8">
    <cfRule type="notContainsBlanks" dxfId="17" priority="8">
      <formula>LEN(TRIM(P8))&gt;0</formula>
    </cfRule>
  </conditionalFormatting>
  <conditionalFormatting sqref="A11:AA80">
    <cfRule type="expression" dxfId="14" priority="9">
      <formula>$A11="PAZIENTE SANO"</formula>
    </cfRule>
  </conditionalFormatting>
  <conditionalFormatting sqref="A11:AA80">
    <cfRule type="expression" dxfId="9" priority="10">
      <formula>$A11="IN ATTESA OK ANESTESISTI MALGRATE"</formula>
    </cfRule>
  </conditionalFormatting>
  <conditionalFormatting sqref="A11:AA80">
    <cfRule type="expression" dxfId="15" priority="11">
      <formula>$A11="NON SI PRESENTA ALL'APPUNTAMENTO"</formula>
    </cfRule>
  </conditionalFormatting>
  <conditionalFormatting sqref="A11:AA80">
    <cfRule type="expression" dxfId="16" priority="12">
      <formula>$A11="CONSULTO COMMERCIALE/CLINICO"</formula>
    </cfRule>
  </conditionalFormatting>
  <dataValidations>
    <dataValidation type="list" allowBlank="1" showErrorMessage="1" sqref="C11:C80">
      <formula1>'Elenco Dip Sedi'!$D$5:$D$32</formula1>
    </dataValidation>
    <dataValidation type="list" allowBlank="1" showErrorMessage="1" sqref="G11:G80">
      <formula1>'Elenco Dip Sedi'!$C$5:$C$32</formula1>
    </dataValidation>
    <dataValidation type="list" allowBlank="1" showErrorMessage="1" sqref="O11:P80">
      <formula1>'Elenco Dip Sedi'!$K$5:$K$32</formula1>
    </dataValidation>
    <dataValidation type="list" allowBlank="1" showErrorMessage="1" sqref="H11:H80">
      <formula1>"ANNIBALDI,DEL PRETE,EMANUELE,FRACANZANI,FRASCA,MALTESE,PLINI,SALERNO,VENNETTELLI,VESPASIANO"</formula1>
    </dataValidation>
    <dataValidation type="list" allowBlank="1" showErrorMessage="1" sqref="A11:A80">
      <formula1>"NESSUNA VENDITA,ATTESA DOCUMENTAZIONE,INZIA IL TRATTAMENTO-VENDITA,RICHIAMERA' / RICHIAMARE,NON SI PRESENTA ALL'APPUNTAMENTO,CONSULTO COMMERCIALE/CLINICO,PAZIENTE SANO"</formula1>
    </dataValidation>
    <dataValidation type="list" allowBlank="1" showErrorMessage="1" sqref="E11:E80">
      <formula1>'Elenco Dip Sedi'!$N$5:$N$32</formula1>
    </dataValidation>
    <dataValidation type="list" allowBlank="1" showErrorMessage="1" sqref="F11:F80">
      <formula1>"M,F"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38"/>
    <col customWidth="1" min="2" max="2" width="1.5"/>
    <col customWidth="1" min="3" max="3" width="25.88"/>
    <col customWidth="1" min="4" max="4" width="16.88"/>
    <col customWidth="1" min="5" max="5" width="30.38"/>
    <col customWidth="1" min="6" max="6" width="15.63"/>
    <col customWidth="1" min="7" max="7" width="11.0"/>
    <col customWidth="1" min="8" max="25" width="9.88"/>
  </cols>
  <sheetData>
    <row r="1" ht="15.75" customHeight="1">
      <c r="A1" s="238" t="s">
        <v>468</v>
      </c>
      <c r="B1" s="239" t="s">
        <v>468</v>
      </c>
      <c r="C1" s="238" t="s">
        <v>468</v>
      </c>
      <c r="D1" s="238" t="s">
        <v>468</v>
      </c>
      <c r="E1" s="238" t="s">
        <v>468</v>
      </c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</row>
    <row r="2">
      <c r="A2" s="241" t="s">
        <v>469</v>
      </c>
      <c r="B2" s="239" t="s">
        <v>468</v>
      </c>
      <c r="C2" s="242" t="s">
        <v>470</v>
      </c>
      <c r="D2" s="243" t="s">
        <v>471</v>
      </c>
      <c r="E2" s="244" t="s">
        <v>472</v>
      </c>
      <c r="F2" s="245" t="s">
        <v>473</v>
      </c>
      <c r="G2" s="246"/>
      <c r="H2" s="246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</row>
    <row r="3" ht="15.75" hidden="1" customHeight="1">
      <c r="A3" s="238" t="s">
        <v>468</v>
      </c>
      <c r="B3" s="239" t="s">
        <v>468</v>
      </c>
      <c r="C3" s="238" t="s">
        <v>468</v>
      </c>
      <c r="D3" s="238" t="s">
        <v>468</v>
      </c>
      <c r="E3" s="238" t="s">
        <v>468</v>
      </c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</row>
    <row r="4" hidden="1">
      <c r="A4" s="238"/>
      <c r="B4" s="239"/>
      <c r="C4" s="238"/>
      <c r="D4" s="238"/>
      <c r="E4" s="238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</row>
    <row r="5" ht="15.75" hidden="1" customHeight="1">
      <c r="A5" s="238"/>
      <c r="B5" s="239"/>
      <c r="C5" s="238"/>
      <c r="D5" s="238"/>
      <c r="E5" s="238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</row>
    <row r="6" ht="15.75" hidden="1" customHeight="1">
      <c r="A6" s="247"/>
      <c r="B6" s="239"/>
      <c r="C6" s="238"/>
      <c r="D6" s="238"/>
      <c r="E6" s="238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</row>
    <row r="7" ht="15.75" hidden="1" customHeight="1">
      <c r="A7" s="238"/>
      <c r="B7" s="239"/>
      <c r="C7" s="248"/>
      <c r="D7" s="248"/>
      <c r="E7" s="248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</row>
    <row r="8" ht="22.5" customHeight="1">
      <c r="A8" s="249" t="s">
        <v>474</v>
      </c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</row>
    <row r="9" ht="15.75" customHeight="1">
      <c r="A9" s="251"/>
      <c r="B9" s="239"/>
      <c r="C9" s="252"/>
      <c r="D9" s="253"/>
      <c r="E9" s="254"/>
      <c r="F9" s="255" t="b">
        <v>0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</row>
    <row r="10" ht="15.75" customHeight="1">
      <c r="A10" s="251"/>
      <c r="B10" s="239"/>
      <c r="C10" s="252"/>
      <c r="D10" s="253"/>
      <c r="E10" s="254"/>
      <c r="F10" s="255" t="b">
        <v>0</v>
      </c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</row>
    <row r="11" ht="15.75" customHeight="1">
      <c r="A11" s="251"/>
      <c r="B11" s="239"/>
      <c r="C11" s="252"/>
      <c r="D11" s="253"/>
      <c r="E11" s="254"/>
      <c r="F11" s="255" t="b">
        <v>0</v>
      </c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</row>
    <row r="12" ht="15.75" customHeight="1">
      <c r="A12" s="251"/>
      <c r="B12" s="239"/>
      <c r="C12" s="252"/>
      <c r="D12" s="253"/>
      <c r="E12" s="254"/>
      <c r="F12" s="255" t="b">
        <v>0</v>
      </c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</row>
    <row r="13" ht="15.75" customHeight="1">
      <c r="A13" s="251"/>
      <c r="B13" s="239"/>
      <c r="C13" s="252"/>
      <c r="D13" s="253"/>
      <c r="E13" s="254"/>
      <c r="F13" s="255" t="b">
        <v>0</v>
      </c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</row>
    <row r="14" ht="15.75" customHeight="1">
      <c r="A14" s="251"/>
      <c r="B14" s="239"/>
      <c r="C14" s="252"/>
      <c r="D14" s="253"/>
      <c r="E14" s="254"/>
      <c r="F14" s="255" t="b">
        <v>0</v>
      </c>
      <c r="G14" s="240"/>
      <c r="H14" s="256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0"/>
      <c r="U14" s="240"/>
      <c r="V14" s="240"/>
      <c r="W14" s="240"/>
      <c r="X14" s="240"/>
      <c r="Y14" s="240"/>
    </row>
    <row r="15" ht="15.75" customHeight="1">
      <c r="A15" s="251"/>
      <c r="B15" s="257"/>
      <c r="C15" s="252"/>
      <c r="D15" s="253"/>
      <c r="E15" s="254"/>
      <c r="F15" s="255" t="b">
        <v>0</v>
      </c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</row>
    <row r="16" ht="15.75" customHeight="1">
      <c r="A16" s="251"/>
      <c r="B16" s="239"/>
      <c r="C16" s="252"/>
      <c r="D16" s="253"/>
      <c r="E16" s="254"/>
      <c r="F16" s="255" t="b">
        <v>0</v>
      </c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</row>
    <row r="17" ht="15.75" customHeight="1">
      <c r="A17" s="251"/>
      <c r="B17" s="239"/>
      <c r="C17" s="252"/>
      <c r="D17" s="253"/>
      <c r="E17" s="254"/>
      <c r="F17" s="255" t="b">
        <v>0</v>
      </c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</row>
    <row r="18" ht="15.75" customHeight="1">
      <c r="A18" s="251"/>
      <c r="B18" s="239"/>
      <c r="C18" s="252"/>
      <c r="D18" s="253"/>
      <c r="E18" s="254"/>
      <c r="F18" s="255" t="b">
        <v>0</v>
      </c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</row>
    <row r="19" ht="15.75" customHeight="1">
      <c r="A19" s="251"/>
      <c r="B19" s="239"/>
      <c r="C19" s="252"/>
      <c r="D19" s="253"/>
      <c r="E19" s="254"/>
      <c r="F19" s="255" t="b">
        <v>0</v>
      </c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</row>
    <row r="20" ht="15.75" customHeight="1">
      <c r="A20" s="251"/>
      <c r="B20" s="239"/>
      <c r="C20" s="252"/>
      <c r="D20" s="253"/>
      <c r="E20" s="254"/>
      <c r="F20" s="255" t="b">
        <v>0</v>
      </c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</row>
    <row r="21" ht="15.75" customHeight="1">
      <c r="A21" s="251"/>
      <c r="B21" s="239"/>
      <c r="C21" s="252"/>
      <c r="D21" s="253"/>
      <c r="E21" s="254"/>
      <c r="F21" s="255" t="b">
        <v>0</v>
      </c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</row>
    <row r="22" ht="15.75" customHeight="1">
      <c r="A22" s="251"/>
      <c r="B22" s="239"/>
      <c r="C22" s="252"/>
      <c r="D22" s="253"/>
      <c r="E22" s="254"/>
      <c r="F22" s="255" t="b">
        <v>0</v>
      </c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</row>
    <row r="23" ht="15.75" customHeight="1">
      <c r="A23" s="251"/>
      <c r="B23" s="239"/>
      <c r="C23" s="252"/>
      <c r="D23" s="253"/>
      <c r="E23" s="254"/>
      <c r="F23" s="255" t="b">
        <v>0</v>
      </c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</row>
    <row r="24" ht="15.75" customHeight="1">
      <c r="A24" s="251"/>
      <c r="B24" s="239"/>
      <c r="C24" s="252"/>
      <c r="D24" s="253"/>
      <c r="E24" s="254"/>
      <c r="F24" s="255" t="b">
        <v>0</v>
      </c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</row>
    <row r="25" ht="15.75" customHeight="1">
      <c r="A25" s="251"/>
      <c r="B25" s="239"/>
      <c r="C25" s="252"/>
      <c r="D25" s="253"/>
      <c r="E25" s="254"/>
      <c r="F25" s="255" t="b">
        <v>0</v>
      </c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</row>
    <row r="26" ht="15.75" customHeight="1">
      <c r="A26" s="251"/>
      <c r="B26" s="239"/>
      <c r="C26" s="252"/>
      <c r="D26" s="253"/>
      <c r="E26" s="254"/>
      <c r="F26" s="255" t="b">
        <v>0</v>
      </c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</row>
    <row r="27" ht="15.75" customHeight="1">
      <c r="A27" s="251"/>
      <c r="B27" s="239"/>
      <c r="C27" s="252"/>
      <c r="D27" s="253"/>
      <c r="E27" s="254"/>
      <c r="F27" s="255" t="b">
        <v>0</v>
      </c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</row>
    <row r="28" ht="15.75" customHeight="1">
      <c r="A28" s="251"/>
      <c r="B28" s="239"/>
      <c r="C28" s="252"/>
      <c r="D28" s="253"/>
      <c r="E28" s="254"/>
      <c r="F28" s="255" t="b">
        <v>0</v>
      </c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</row>
    <row r="29" ht="15.75" customHeight="1">
      <c r="A29" s="251"/>
      <c r="B29" s="239"/>
      <c r="C29" s="252"/>
      <c r="D29" s="253"/>
      <c r="E29" s="254"/>
      <c r="F29" s="255" t="b">
        <v>0</v>
      </c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</row>
    <row r="30" ht="15.75" customHeight="1">
      <c r="A30" s="251"/>
      <c r="B30" s="239"/>
      <c r="C30" s="252"/>
      <c r="D30" s="253"/>
      <c r="E30" s="254"/>
      <c r="F30" s="255" t="b">
        <v>0</v>
      </c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</row>
    <row r="31" ht="15.75" customHeight="1">
      <c r="A31" s="251"/>
      <c r="B31" s="239"/>
      <c r="C31" s="252"/>
      <c r="D31" s="253"/>
      <c r="E31" s="254"/>
      <c r="F31" s="255" t="b">
        <v>0</v>
      </c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</row>
    <row r="32" ht="15.75" customHeight="1">
      <c r="A32" s="251"/>
      <c r="B32" s="239"/>
      <c r="C32" s="252"/>
      <c r="D32" s="253"/>
      <c r="E32" s="254"/>
      <c r="F32" s="255" t="b">
        <v>0</v>
      </c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</row>
    <row r="33" ht="15.75" customHeight="1">
      <c r="A33" s="251"/>
      <c r="B33" s="239"/>
      <c r="C33" s="252"/>
      <c r="D33" s="253"/>
      <c r="E33" s="254"/>
      <c r="F33" s="255" t="b">
        <v>0</v>
      </c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</row>
    <row r="34" ht="15.75" customHeight="1">
      <c r="A34" s="258"/>
      <c r="B34" s="239"/>
      <c r="C34" s="259"/>
      <c r="D34" s="260"/>
      <c r="E34" s="261"/>
      <c r="F34" s="262">
        <f>SUMIF(F5:F33, TRUE, D5:D33)</f>
        <v>0</v>
      </c>
      <c r="G34" s="263" t="s">
        <v>475</v>
      </c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</row>
    <row r="35" ht="25.5" customHeight="1">
      <c r="A35" s="264" t="s">
        <v>476</v>
      </c>
      <c r="B35" s="131"/>
      <c r="C35" s="131"/>
      <c r="D35" s="131"/>
      <c r="E35" s="131"/>
      <c r="F35" s="131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</row>
    <row r="36" ht="15.75" customHeight="1">
      <c r="A36" s="265"/>
      <c r="B36" s="239"/>
      <c r="C36" s="252" t="s">
        <v>477</v>
      </c>
      <c r="D36" s="253">
        <v>1500.0</v>
      </c>
      <c r="E36" s="254" t="s">
        <v>119</v>
      </c>
      <c r="F36" s="266" t="b">
        <v>1</v>
      </c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</row>
    <row r="37" ht="15.75" customHeight="1">
      <c r="A37" s="265"/>
      <c r="B37" s="239"/>
      <c r="C37" s="252" t="s">
        <v>478</v>
      </c>
      <c r="D37" s="253">
        <v>1000.0</v>
      </c>
      <c r="E37" s="254" t="s">
        <v>119</v>
      </c>
      <c r="F37" s="266" t="b">
        <v>1</v>
      </c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</row>
    <row r="38" ht="15.75" customHeight="1">
      <c r="A38" s="265"/>
      <c r="B38" s="239"/>
      <c r="C38" s="252" t="s">
        <v>479</v>
      </c>
      <c r="D38" s="253">
        <v>1621.0</v>
      </c>
      <c r="E38" s="254" t="s">
        <v>93</v>
      </c>
      <c r="F38" s="266" t="b">
        <v>1</v>
      </c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</row>
    <row r="39" ht="15.75" customHeight="1">
      <c r="A39" s="265"/>
      <c r="B39" s="239"/>
      <c r="C39" s="252" t="s">
        <v>480</v>
      </c>
      <c r="D39" s="253">
        <v>1000.0</v>
      </c>
      <c r="E39" s="254" t="s">
        <v>119</v>
      </c>
      <c r="F39" s="266" t="b">
        <v>1</v>
      </c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</row>
    <row r="40" ht="15.75" customHeight="1">
      <c r="A40" s="265"/>
      <c r="B40" s="239"/>
      <c r="C40" s="252" t="s">
        <v>481</v>
      </c>
      <c r="D40" s="253">
        <v>700.0</v>
      </c>
      <c r="E40" s="254" t="s">
        <v>93</v>
      </c>
      <c r="F40" s="266" t="b">
        <v>1</v>
      </c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</row>
    <row r="41" ht="15.75" customHeight="1">
      <c r="A41" s="265"/>
      <c r="B41" s="239"/>
      <c r="C41" s="252" t="s">
        <v>225</v>
      </c>
      <c r="D41" s="253">
        <v>5000.0</v>
      </c>
      <c r="E41" s="254" t="s">
        <v>93</v>
      </c>
      <c r="F41" s="266" t="b">
        <v>1</v>
      </c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</row>
    <row r="42" ht="15.75" customHeight="1">
      <c r="A42" s="265"/>
      <c r="B42" s="239"/>
      <c r="C42" s="252" t="s">
        <v>351</v>
      </c>
      <c r="D42" s="253">
        <v>2250.0</v>
      </c>
      <c r="E42" s="254" t="s">
        <v>93</v>
      </c>
      <c r="F42" s="266" t="b">
        <v>1</v>
      </c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</row>
    <row r="43" ht="15.75" customHeight="1">
      <c r="A43" s="265"/>
      <c r="B43" s="239"/>
      <c r="C43" s="252" t="s">
        <v>482</v>
      </c>
      <c r="D43" s="253">
        <v>2000.0</v>
      </c>
      <c r="E43" s="254" t="s">
        <v>93</v>
      </c>
      <c r="F43" s="266" t="b">
        <v>1</v>
      </c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</row>
    <row r="44" ht="15.75" customHeight="1">
      <c r="A44" s="267"/>
      <c r="B44" s="239"/>
      <c r="C44" s="252" t="s">
        <v>483</v>
      </c>
      <c r="D44" s="253">
        <v>930.0</v>
      </c>
      <c r="E44" s="254" t="s">
        <v>119</v>
      </c>
      <c r="F44" s="266" t="b">
        <v>1</v>
      </c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</row>
    <row r="45" ht="15.75" customHeight="1">
      <c r="A45" s="267"/>
      <c r="B45" s="239"/>
      <c r="C45" s="252" t="s">
        <v>484</v>
      </c>
      <c r="D45" s="253">
        <v>744.0</v>
      </c>
      <c r="E45" s="254" t="s">
        <v>93</v>
      </c>
      <c r="F45" s="266" t="b">
        <v>1</v>
      </c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</row>
    <row r="46" ht="15.75" customHeight="1">
      <c r="A46" s="267"/>
      <c r="B46" s="239"/>
      <c r="C46" s="252" t="s">
        <v>485</v>
      </c>
      <c r="D46" s="253">
        <v>2000.0</v>
      </c>
      <c r="E46" s="254" t="s">
        <v>93</v>
      </c>
      <c r="F46" s="266" t="b">
        <v>1</v>
      </c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</row>
    <row r="47" ht="15.75" customHeight="1">
      <c r="A47" s="267"/>
      <c r="B47" s="239"/>
      <c r="C47" s="259"/>
      <c r="D47" s="260"/>
      <c r="E47" s="254"/>
      <c r="F47" s="266" t="b">
        <v>0</v>
      </c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</row>
    <row r="48" ht="15.75" customHeight="1">
      <c r="A48" s="267"/>
      <c r="B48" s="239"/>
      <c r="C48" s="259"/>
      <c r="D48" s="260"/>
      <c r="E48" s="254"/>
      <c r="F48" s="266" t="b">
        <v>0</v>
      </c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</row>
    <row r="49" ht="15.75" customHeight="1">
      <c r="A49" s="267"/>
      <c r="B49" s="239"/>
      <c r="C49" s="259"/>
      <c r="D49" s="260"/>
      <c r="E49" s="254"/>
      <c r="F49" s="266" t="b">
        <v>0</v>
      </c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</row>
    <row r="50" ht="15.75" customHeight="1">
      <c r="A50" s="267"/>
      <c r="B50" s="239"/>
      <c r="C50" s="259"/>
      <c r="D50" s="260"/>
      <c r="E50" s="254"/>
      <c r="F50" s="266" t="b">
        <v>0</v>
      </c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</row>
    <row r="51" ht="15.75" customHeight="1">
      <c r="A51" s="267"/>
      <c r="B51" s="239"/>
      <c r="C51" s="259"/>
      <c r="D51" s="260"/>
      <c r="E51" s="254"/>
      <c r="F51" s="266" t="b">
        <v>0</v>
      </c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</row>
    <row r="52" ht="15.75" customHeight="1">
      <c r="A52" s="267"/>
      <c r="B52" s="239"/>
      <c r="C52" s="259"/>
      <c r="D52" s="260"/>
      <c r="E52" s="254"/>
      <c r="F52" s="266" t="b">
        <v>0</v>
      </c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</row>
    <row r="53" ht="15.75" customHeight="1">
      <c r="A53" s="267"/>
      <c r="B53" s="239"/>
      <c r="C53" s="259"/>
      <c r="D53" s="260"/>
      <c r="E53" s="254"/>
      <c r="F53" s="266" t="b">
        <v>0</v>
      </c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</row>
    <row r="54" ht="15.75" customHeight="1">
      <c r="A54" s="267"/>
      <c r="B54" s="239"/>
      <c r="C54" s="259"/>
      <c r="D54" s="253"/>
      <c r="E54" s="254"/>
      <c r="F54" s="266" t="b">
        <v>0</v>
      </c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</row>
    <row r="55" ht="15.75" customHeight="1">
      <c r="A55" s="267"/>
      <c r="B55" s="239"/>
      <c r="C55" s="259"/>
      <c r="D55" s="253"/>
      <c r="E55" s="254"/>
      <c r="F55" s="266" t="b">
        <v>0</v>
      </c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</row>
    <row r="56" ht="15.75" customHeight="1">
      <c r="A56" s="267"/>
      <c r="B56" s="239"/>
      <c r="C56" s="259"/>
      <c r="D56" s="260"/>
      <c r="E56" s="268"/>
      <c r="F56" s="269">
        <f>SUMIF(F36:F55, TRUE, D36:D55)</f>
        <v>18745</v>
      </c>
      <c r="G56" s="263" t="s">
        <v>475</v>
      </c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</row>
    <row r="57" ht="25.5" customHeight="1">
      <c r="A57" s="264" t="s">
        <v>486</v>
      </c>
      <c r="B57" s="131"/>
      <c r="C57" s="131"/>
      <c r="D57" s="131"/>
      <c r="E57" s="131"/>
      <c r="F57" s="131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</row>
    <row r="58" ht="15.75" customHeight="1">
      <c r="A58" s="267"/>
      <c r="B58" s="239"/>
      <c r="C58" s="252" t="s">
        <v>478</v>
      </c>
      <c r="D58" s="253">
        <v>1000.0</v>
      </c>
      <c r="E58" s="254" t="s">
        <v>119</v>
      </c>
      <c r="F58" s="255" t="b">
        <v>0</v>
      </c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</row>
    <row r="59" ht="15.75" customHeight="1">
      <c r="A59" s="267"/>
      <c r="B59" s="239"/>
      <c r="C59" s="252" t="s">
        <v>480</v>
      </c>
      <c r="D59" s="253">
        <v>1000.0</v>
      </c>
      <c r="E59" s="254" t="s">
        <v>119</v>
      </c>
      <c r="F59" s="266" t="b">
        <v>0</v>
      </c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</row>
    <row r="60" ht="15.75" customHeight="1">
      <c r="A60" s="265"/>
      <c r="B60" s="239"/>
      <c r="C60" s="252" t="s">
        <v>487</v>
      </c>
      <c r="D60" s="253">
        <v>2250.0</v>
      </c>
      <c r="E60" s="254" t="s">
        <v>93</v>
      </c>
      <c r="F60" s="266" t="b">
        <v>0</v>
      </c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</row>
    <row r="61" ht="15.75" customHeight="1">
      <c r="A61" s="267"/>
      <c r="B61" s="239"/>
      <c r="C61" s="252" t="s">
        <v>488</v>
      </c>
      <c r="D61" s="253">
        <v>600.0</v>
      </c>
      <c r="E61" s="254" t="s">
        <v>119</v>
      </c>
      <c r="F61" s="266" t="b">
        <v>0</v>
      </c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</row>
    <row r="62" ht="15.75" customHeight="1">
      <c r="A62" s="265"/>
      <c r="B62" s="239"/>
      <c r="C62" s="252" t="s">
        <v>489</v>
      </c>
      <c r="D62" s="253">
        <v>1000.0</v>
      </c>
      <c r="E62" s="254" t="s">
        <v>119</v>
      </c>
      <c r="F62" s="266" t="b">
        <v>0</v>
      </c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</row>
    <row r="63" ht="15.75" customHeight="1">
      <c r="A63" s="270"/>
      <c r="B63" s="271"/>
      <c r="C63" s="272" t="s">
        <v>490</v>
      </c>
      <c r="D63" s="273">
        <v>1242.0</v>
      </c>
      <c r="E63" s="254" t="s">
        <v>93</v>
      </c>
      <c r="F63" s="266" t="b">
        <v>1</v>
      </c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</row>
    <row r="64" ht="15.75" customHeight="1">
      <c r="A64" s="265"/>
      <c r="B64" s="239"/>
      <c r="C64" s="252" t="s">
        <v>491</v>
      </c>
      <c r="D64" s="253">
        <v>325.0</v>
      </c>
      <c r="E64" s="254" t="s">
        <v>119</v>
      </c>
      <c r="F64" s="266" t="b">
        <v>0</v>
      </c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</row>
    <row r="65" ht="15.75" customHeight="1">
      <c r="A65" s="265"/>
      <c r="B65" s="239"/>
      <c r="C65" s="252" t="s">
        <v>492</v>
      </c>
      <c r="D65" s="253">
        <v>1210.0</v>
      </c>
      <c r="E65" s="254" t="s">
        <v>93</v>
      </c>
      <c r="F65" s="266" t="b">
        <v>0</v>
      </c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</row>
    <row r="66" ht="15.75" customHeight="1">
      <c r="A66" s="274"/>
      <c r="B66" s="239"/>
      <c r="C66" s="252" t="s">
        <v>493</v>
      </c>
      <c r="D66" s="253">
        <v>1000.0</v>
      </c>
      <c r="E66" s="254" t="s">
        <v>93</v>
      </c>
      <c r="F66" s="266" t="b">
        <v>1</v>
      </c>
      <c r="G66" s="240"/>
      <c r="H66" s="240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</row>
    <row r="67" ht="15.75" customHeight="1">
      <c r="A67" s="265"/>
      <c r="B67" s="239"/>
      <c r="C67" s="252" t="s">
        <v>494</v>
      </c>
      <c r="D67" s="253">
        <v>475.0</v>
      </c>
      <c r="E67" s="254" t="s">
        <v>119</v>
      </c>
      <c r="F67" s="266" t="b">
        <v>0</v>
      </c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</row>
    <row r="68" ht="15.75" customHeight="1">
      <c r="A68" s="267"/>
      <c r="B68" s="239"/>
      <c r="C68" s="252" t="s">
        <v>495</v>
      </c>
      <c r="D68" s="253">
        <v>300.0</v>
      </c>
      <c r="E68" s="254" t="s">
        <v>119</v>
      </c>
      <c r="F68" s="266" t="b">
        <v>1</v>
      </c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</row>
    <row r="69" ht="15.75" customHeight="1">
      <c r="A69" s="267"/>
      <c r="B69" s="239"/>
      <c r="C69" s="252" t="s">
        <v>496</v>
      </c>
      <c r="D69" s="253">
        <v>760.0</v>
      </c>
      <c r="E69" s="254" t="s">
        <v>119</v>
      </c>
      <c r="F69" s="266" t="b">
        <v>1</v>
      </c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</row>
    <row r="70" ht="15.75" customHeight="1">
      <c r="A70" s="267"/>
      <c r="B70" s="239"/>
      <c r="C70" s="252" t="s">
        <v>497</v>
      </c>
      <c r="D70" s="253">
        <v>4900.0</v>
      </c>
      <c r="E70" s="254" t="s">
        <v>93</v>
      </c>
      <c r="F70" s="266" t="b">
        <v>1</v>
      </c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</row>
    <row r="71" ht="15.75" customHeight="1">
      <c r="A71" s="267"/>
      <c r="B71" s="239"/>
      <c r="C71" s="252" t="s">
        <v>498</v>
      </c>
      <c r="D71" s="253">
        <v>650.0</v>
      </c>
      <c r="E71" s="254" t="s">
        <v>93</v>
      </c>
      <c r="F71" s="266" t="b">
        <v>1</v>
      </c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</row>
    <row r="72" ht="15.75" customHeight="1">
      <c r="A72" s="267"/>
      <c r="B72" s="239"/>
      <c r="C72" s="252" t="s">
        <v>499</v>
      </c>
      <c r="D72" s="253">
        <v>1250.0</v>
      </c>
      <c r="E72" s="254" t="s">
        <v>93</v>
      </c>
      <c r="F72" s="266" t="b">
        <v>0</v>
      </c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</row>
    <row r="73" ht="15.75" customHeight="1">
      <c r="A73" s="267"/>
      <c r="B73" s="239"/>
      <c r="C73" s="259"/>
      <c r="D73" s="260"/>
      <c r="E73" s="254"/>
      <c r="F73" s="266" t="b">
        <v>0</v>
      </c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</row>
    <row r="74" ht="15.75" customHeight="1">
      <c r="A74" s="267"/>
      <c r="B74" s="239"/>
      <c r="C74" s="259"/>
      <c r="D74" s="260"/>
      <c r="E74" s="254"/>
      <c r="F74" s="266" t="b">
        <v>0</v>
      </c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</row>
    <row r="75" ht="15.75" customHeight="1">
      <c r="A75" s="267"/>
      <c r="B75" s="239"/>
      <c r="C75" s="259"/>
      <c r="D75" s="260"/>
      <c r="E75" s="254"/>
      <c r="F75" s="266" t="b">
        <v>0</v>
      </c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</row>
    <row r="76" ht="15.75" customHeight="1">
      <c r="A76" s="267"/>
      <c r="B76" s="239"/>
      <c r="C76" s="259"/>
      <c r="D76" s="260"/>
      <c r="E76" s="254"/>
      <c r="F76" s="266" t="b">
        <v>0</v>
      </c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</row>
    <row r="77" ht="15.75" customHeight="1">
      <c r="A77" s="267"/>
      <c r="B77" s="239"/>
      <c r="C77" s="259"/>
      <c r="D77" s="260"/>
      <c r="E77" s="254"/>
      <c r="F77" s="266" t="b">
        <v>0</v>
      </c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</row>
    <row r="78" ht="15.75" customHeight="1">
      <c r="A78" s="267"/>
      <c r="B78" s="239"/>
      <c r="C78" s="259"/>
      <c r="D78" s="260"/>
      <c r="E78" s="261"/>
      <c r="F78" s="269">
        <f>SUMIF(F56:F77, TRUE, D56:D77)</f>
        <v>8852</v>
      </c>
      <c r="G78" s="263" t="s">
        <v>475</v>
      </c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</row>
    <row r="79" ht="25.5" customHeight="1">
      <c r="A79" s="264" t="s">
        <v>500</v>
      </c>
      <c r="B79" s="131"/>
      <c r="C79" s="131"/>
      <c r="D79" s="131"/>
      <c r="E79" s="131"/>
      <c r="F79" s="131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</row>
    <row r="80" ht="15.75" customHeight="1">
      <c r="A80" s="267"/>
      <c r="B80" s="239"/>
      <c r="C80" s="252" t="s">
        <v>478</v>
      </c>
      <c r="D80" s="253">
        <v>1640.0</v>
      </c>
      <c r="E80" s="254" t="s">
        <v>119</v>
      </c>
      <c r="F80" s="266" t="b">
        <v>0</v>
      </c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</row>
    <row r="81" ht="15.75" customHeight="1">
      <c r="A81" s="267"/>
      <c r="B81" s="239"/>
      <c r="C81" s="252" t="s">
        <v>480</v>
      </c>
      <c r="D81" s="253">
        <v>1000.0</v>
      </c>
      <c r="E81" s="254" t="s">
        <v>119</v>
      </c>
      <c r="F81" s="266" t="b">
        <v>0</v>
      </c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</row>
    <row r="82" ht="15.75" customHeight="1">
      <c r="A82" s="267"/>
      <c r="B82" s="239"/>
      <c r="C82" s="252" t="s">
        <v>493</v>
      </c>
      <c r="D82" s="253">
        <v>1136.0</v>
      </c>
      <c r="E82" s="254" t="s">
        <v>93</v>
      </c>
      <c r="F82" s="266" t="b">
        <v>0</v>
      </c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</row>
    <row r="83" ht="15.75" customHeight="1">
      <c r="A83" s="267"/>
      <c r="B83" s="239"/>
      <c r="C83" s="252" t="s">
        <v>482</v>
      </c>
      <c r="D83" s="253">
        <v>2000.0</v>
      </c>
      <c r="E83" s="254" t="s">
        <v>93</v>
      </c>
      <c r="F83" s="266" t="b">
        <v>0</v>
      </c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</row>
    <row r="84" ht="15.75" customHeight="1">
      <c r="A84" s="267"/>
      <c r="B84" s="239"/>
      <c r="C84" s="252" t="s">
        <v>501</v>
      </c>
      <c r="D84" s="253">
        <v>3000.0</v>
      </c>
      <c r="E84" s="254" t="s">
        <v>119</v>
      </c>
      <c r="F84" s="266" t="b">
        <v>0</v>
      </c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</row>
    <row r="85" ht="15.75" customHeight="1">
      <c r="A85" s="267"/>
      <c r="B85" s="239"/>
      <c r="C85" s="252" t="s">
        <v>502</v>
      </c>
      <c r="D85" s="253">
        <v>990.0</v>
      </c>
      <c r="E85" s="254" t="s">
        <v>93</v>
      </c>
      <c r="F85" s="266" t="b">
        <v>0</v>
      </c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</row>
    <row r="86" ht="15.75" customHeight="1">
      <c r="A86" s="267"/>
      <c r="B86" s="239"/>
      <c r="C86" s="252" t="s">
        <v>503</v>
      </c>
      <c r="D86" s="253">
        <v>937.0</v>
      </c>
      <c r="E86" s="254" t="s">
        <v>93</v>
      </c>
      <c r="F86" s="266" t="b">
        <v>0</v>
      </c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</row>
    <row r="87" ht="15.75" customHeight="1">
      <c r="A87" s="267"/>
      <c r="B87" s="239"/>
      <c r="C87" s="259"/>
      <c r="D87" s="260"/>
      <c r="E87" s="254"/>
      <c r="F87" s="266" t="b">
        <v>0</v>
      </c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</row>
    <row r="88" ht="15.75" customHeight="1">
      <c r="A88" s="267"/>
      <c r="B88" s="239"/>
      <c r="C88" s="259"/>
      <c r="D88" s="253"/>
      <c r="E88" s="254"/>
      <c r="F88" s="266" t="b">
        <v>0</v>
      </c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</row>
    <row r="89" ht="15.75" customHeight="1">
      <c r="A89" s="267"/>
      <c r="B89" s="239"/>
      <c r="C89" s="259"/>
      <c r="D89" s="253"/>
      <c r="E89" s="254"/>
      <c r="F89" s="266" t="b">
        <v>0</v>
      </c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</row>
    <row r="90" ht="15.75" customHeight="1">
      <c r="A90" s="267"/>
      <c r="B90" s="239"/>
      <c r="C90" s="259"/>
      <c r="D90" s="260"/>
      <c r="E90" s="254"/>
      <c r="F90" s="266" t="b">
        <v>0</v>
      </c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</row>
    <row r="91" ht="15.75" customHeight="1">
      <c r="A91" s="267"/>
      <c r="B91" s="239"/>
      <c r="C91" s="259"/>
      <c r="D91" s="260"/>
      <c r="E91" s="254"/>
      <c r="F91" s="266" t="b">
        <v>0</v>
      </c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</row>
    <row r="92" ht="15.75" customHeight="1">
      <c r="A92" s="267"/>
      <c r="B92" s="239"/>
      <c r="C92" s="259"/>
      <c r="D92" s="260"/>
      <c r="E92" s="254"/>
      <c r="F92" s="266" t="b">
        <v>0</v>
      </c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</row>
    <row r="93" ht="15.75" customHeight="1">
      <c r="A93" s="267"/>
      <c r="B93" s="239"/>
      <c r="C93" s="259"/>
      <c r="D93" s="260"/>
      <c r="E93" s="254"/>
      <c r="F93" s="266" t="b">
        <v>0</v>
      </c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</row>
    <row r="94" ht="15.75" customHeight="1">
      <c r="A94" s="267"/>
      <c r="B94" s="239"/>
      <c r="C94" s="259"/>
      <c r="D94" s="260"/>
      <c r="E94" s="254"/>
      <c r="F94" s="266" t="b">
        <v>0</v>
      </c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</row>
    <row r="95" ht="15.75" customHeight="1">
      <c r="A95" s="267"/>
      <c r="B95" s="239"/>
      <c r="C95" s="259"/>
      <c r="D95" s="260"/>
      <c r="E95" s="254"/>
      <c r="F95" s="266" t="b">
        <v>0</v>
      </c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</row>
    <row r="96" ht="15.75" customHeight="1">
      <c r="A96" s="267"/>
      <c r="B96" s="239"/>
      <c r="C96" s="259"/>
      <c r="D96" s="260"/>
      <c r="E96" s="254"/>
      <c r="F96" s="266" t="b">
        <v>0</v>
      </c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</row>
    <row r="97" ht="15.75" customHeight="1">
      <c r="A97" s="267"/>
      <c r="B97" s="239"/>
      <c r="C97" s="259"/>
      <c r="D97" s="260"/>
      <c r="E97" s="254"/>
      <c r="F97" s="266" t="b">
        <v>0</v>
      </c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</row>
    <row r="98" ht="15.75" customHeight="1">
      <c r="A98" s="267"/>
      <c r="B98" s="239"/>
      <c r="C98" s="259"/>
      <c r="D98" s="260"/>
      <c r="E98" s="254"/>
      <c r="F98" s="266" t="b">
        <v>0</v>
      </c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</row>
    <row r="99" ht="15.75" customHeight="1">
      <c r="A99" s="267"/>
      <c r="B99" s="239"/>
      <c r="C99" s="259"/>
      <c r="D99" s="260"/>
      <c r="E99" s="254"/>
      <c r="F99" s="266" t="b">
        <v>0</v>
      </c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</row>
    <row r="100" ht="15.75" customHeight="1">
      <c r="A100" s="267"/>
      <c r="B100" s="239"/>
      <c r="C100" s="259"/>
      <c r="D100" s="260"/>
      <c r="E100" s="254"/>
      <c r="F100" s="266" t="b">
        <v>0</v>
      </c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</row>
    <row r="101" ht="15.75" customHeight="1">
      <c r="A101" s="267"/>
      <c r="B101" s="239"/>
      <c r="C101" s="259"/>
      <c r="D101" s="260"/>
      <c r="E101" s="254"/>
      <c r="F101" s="266" t="b">
        <v>0</v>
      </c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</row>
    <row r="102" ht="15.75" customHeight="1">
      <c r="A102" s="267"/>
      <c r="B102" s="239"/>
      <c r="C102" s="259"/>
      <c r="D102" s="260"/>
      <c r="E102" s="254"/>
      <c r="F102" s="266" t="b">
        <v>0</v>
      </c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</row>
    <row r="103" ht="15.75" customHeight="1">
      <c r="A103" s="267"/>
      <c r="B103" s="239"/>
      <c r="C103" s="259"/>
      <c r="D103" s="260"/>
      <c r="E103" s="254"/>
      <c r="F103" s="266" t="b">
        <v>0</v>
      </c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</row>
    <row r="104" ht="15.75" customHeight="1">
      <c r="A104" s="267"/>
      <c r="B104" s="239"/>
      <c r="C104" s="259"/>
      <c r="D104" s="260"/>
      <c r="E104" s="254"/>
      <c r="F104" s="266" t="b">
        <v>0</v>
      </c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</row>
    <row r="105" ht="15.75" customHeight="1">
      <c r="A105" s="258"/>
      <c r="B105" s="239"/>
      <c r="C105" s="259"/>
      <c r="D105" s="260"/>
      <c r="E105" s="261"/>
      <c r="F105" s="269">
        <f>SUMIF(F76:F104, TRUE, D76:D104)</f>
        <v>0</v>
      </c>
      <c r="G105" s="263" t="s">
        <v>475</v>
      </c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</row>
    <row r="106" ht="25.5" customHeight="1">
      <c r="A106" s="264" t="s">
        <v>504</v>
      </c>
      <c r="B106" s="131"/>
      <c r="C106" s="131"/>
      <c r="D106" s="131"/>
      <c r="E106" s="131"/>
      <c r="F106" s="131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  <c r="Y106" s="250"/>
    </row>
    <row r="107" ht="15.75" customHeight="1">
      <c r="A107" s="265"/>
      <c r="B107" s="239"/>
      <c r="C107" s="252" t="s">
        <v>480</v>
      </c>
      <c r="D107" s="253">
        <v>1000.0</v>
      </c>
      <c r="E107" s="254" t="s">
        <v>119</v>
      </c>
      <c r="F107" s="266" t="b">
        <v>0</v>
      </c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</row>
    <row r="108" ht="15.75" customHeight="1">
      <c r="A108" s="265"/>
      <c r="B108" s="239"/>
      <c r="C108" s="252" t="s">
        <v>482</v>
      </c>
      <c r="D108" s="253">
        <v>2000.0</v>
      </c>
      <c r="E108" s="254" t="s">
        <v>119</v>
      </c>
      <c r="F108" s="266" t="b">
        <v>0</v>
      </c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</row>
    <row r="109" ht="15.75" customHeight="1">
      <c r="A109" s="265"/>
      <c r="B109" s="239"/>
      <c r="C109" s="259"/>
      <c r="D109" s="260"/>
      <c r="E109" s="254"/>
      <c r="F109" s="266" t="b">
        <v>0</v>
      </c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</row>
    <row r="110" ht="15.75" customHeight="1">
      <c r="A110" s="265"/>
      <c r="B110" s="239"/>
      <c r="C110" s="259"/>
      <c r="D110" s="260"/>
      <c r="E110" s="254"/>
      <c r="F110" s="266" t="b">
        <v>0</v>
      </c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</row>
    <row r="111" ht="15.75" customHeight="1">
      <c r="A111" s="265"/>
      <c r="B111" s="239"/>
      <c r="C111" s="259"/>
      <c r="D111" s="260"/>
      <c r="E111" s="254"/>
      <c r="F111" s="266" t="b">
        <v>0</v>
      </c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</row>
    <row r="112" ht="15.75" customHeight="1">
      <c r="A112" s="265"/>
      <c r="B112" s="239"/>
      <c r="C112" s="259"/>
      <c r="D112" s="260"/>
      <c r="E112" s="254"/>
      <c r="F112" s="266" t="b">
        <v>0</v>
      </c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</row>
    <row r="113" ht="15.75" customHeight="1">
      <c r="A113" s="265"/>
      <c r="B113" s="239"/>
      <c r="C113" s="259"/>
      <c r="D113" s="260"/>
      <c r="E113" s="254"/>
      <c r="F113" s="266" t="b">
        <v>0</v>
      </c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</row>
    <row r="114" ht="15.75" customHeight="1">
      <c r="A114" s="265"/>
      <c r="B114" s="239"/>
      <c r="C114" s="259"/>
      <c r="D114" s="260"/>
      <c r="E114" s="254"/>
      <c r="F114" s="266" t="b">
        <v>0</v>
      </c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</row>
    <row r="115" ht="15.75" customHeight="1">
      <c r="A115" s="265"/>
      <c r="B115" s="239"/>
      <c r="C115" s="259"/>
      <c r="D115" s="253"/>
      <c r="E115" s="254"/>
      <c r="F115" s="266" t="b">
        <v>0</v>
      </c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</row>
    <row r="116" ht="15.75" customHeight="1">
      <c r="A116" s="265"/>
      <c r="B116" s="239"/>
      <c r="C116" s="259"/>
      <c r="D116" s="260"/>
      <c r="E116" s="254"/>
      <c r="F116" s="266" t="b">
        <v>0</v>
      </c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</row>
    <row r="117" ht="15.75" customHeight="1">
      <c r="A117" s="265"/>
      <c r="B117" s="239"/>
      <c r="C117" s="259"/>
      <c r="D117" s="260"/>
      <c r="E117" s="254"/>
      <c r="F117" s="266" t="b">
        <v>0</v>
      </c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</row>
    <row r="118" ht="15.75" customHeight="1">
      <c r="A118" s="265"/>
      <c r="B118" s="239"/>
      <c r="C118" s="259"/>
      <c r="D118" s="260"/>
      <c r="E118" s="254"/>
      <c r="F118" s="266" t="b">
        <v>0</v>
      </c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</row>
    <row r="119" ht="15.75" customHeight="1">
      <c r="A119" s="265"/>
      <c r="B119" s="239"/>
      <c r="C119" s="259"/>
      <c r="D119" s="260"/>
      <c r="E119" s="254"/>
      <c r="F119" s="266" t="b">
        <v>0</v>
      </c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</row>
    <row r="120" ht="15.75" customHeight="1">
      <c r="A120" s="265"/>
      <c r="B120" s="239"/>
      <c r="C120" s="259"/>
      <c r="D120" s="260"/>
      <c r="E120" s="254"/>
      <c r="F120" s="266" t="b">
        <v>0</v>
      </c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</row>
    <row r="121" ht="15.75" customHeight="1">
      <c r="A121" s="265"/>
      <c r="B121" s="239"/>
      <c r="C121" s="259"/>
      <c r="D121" s="260"/>
      <c r="E121" s="254"/>
      <c r="F121" s="266" t="b">
        <v>0</v>
      </c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</row>
    <row r="122" ht="15.75" customHeight="1">
      <c r="A122" s="265"/>
      <c r="B122" s="239"/>
      <c r="C122" s="259"/>
      <c r="D122" s="260"/>
      <c r="E122" s="254"/>
      <c r="F122" s="266" t="b">
        <v>0</v>
      </c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</row>
    <row r="123" ht="15.75" customHeight="1">
      <c r="A123" s="265"/>
      <c r="B123" s="239"/>
      <c r="C123" s="259"/>
      <c r="D123" s="253"/>
      <c r="E123" s="254"/>
      <c r="F123" s="266" t="b">
        <v>0</v>
      </c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</row>
    <row r="124" ht="15.75" customHeight="1">
      <c r="A124" s="265"/>
      <c r="B124" s="239"/>
      <c r="C124" s="259"/>
      <c r="D124" s="260"/>
      <c r="E124" s="254"/>
      <c r="F124" s="266" t="b">
        <v>0</v>
      </c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</row>
    <row r="125" ht="15.75" customHeight="1">
      <c r="A125" s="265"/>
      <c r="B125" s="239"/>
      <c r="C125" s="259"/>
      <c r="D125" s="260"/>
      <c r="E125" s="254"/>
      <c r="F125" s="266" t="b">
        <v>0</v>
      </c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</row>
    <row r="126" ht="15.75" customHeight="1">
      <c r="A126" s="265"/>
      <c r="B126" s="239"/>
      <c r="C126" s="259"/>
      <c r="D126" s="260"/>
      <c r="E126" s="254"/>
      <c r="F126" s="266" t="b">
        <v>0</v>
      </c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</row>
    <row r="127" ht="15.75" customHeight="1">
      <c r="A127" s="265"/>
      <c r="B127" s="239"/>
      <c r="C127" s="259"/>
      <c r="D127" s="260"/>
      <c r="E127" s="254"/>
      <c r="F127" s="266" t="b">
        <v>0</v>
      </c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</row>
    <row r="128" ht="15.75" customHeight="1">
      <c r="A128" s="265"/>
      <c r="B128" s="239"/>
      <c r="C128" s="259"/>
      <c r="D128" s="260"/>
      <c r="E128" s="254"/>
      <c r="F128" s="266" t="b">
        <v>0</v>
      </c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</row>
    <row r="129" ht="15.75" customHeight="1">
      <c r="A129" s="265"/>
      <c r="B129" s="239"/>
      <c r="C129" s="259"/>
      <c r="D129" s="260"/>
      <c r="E129" s="254"/>
      <c r="F129" s="266" t="b">
        <v>0</v>
      </c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</row>
    <row r="130" ht="15.75" customHeight="1">
      <c r="A130" s="265"/>
      <c r="B130" s="239"/>
      <c r="C130" s="259"/>
      <c r="D130" s="260"/>
      <c r="E130" s="254"/>
      <c r="F130" s="266" t="b">
        <v>0</v>
      </c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</row>
    <row r="131" ht="15.75" customHeight="1">
      <c r="A131" s="265"/>
      <c r="B131" s="239"/>
      <c r="C131" s="259"/>
      <c r="D131" s="260"/>
      <c r="E131" s="254"/>
      <c r="F131" s="266" t="b">
        <v>0</v>
      </c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</row>
    <row r="132" ht="15.75" customHeight="1">
      <c r="A132" s="265"/>
      <c r="B132" s="239"/>
      <c r="C132" s="259"/>
      <c r="D132" s="260"/>
      <c r="E132" s="254"/>
      <c r="F132" s="266" t="b">
        <v>0</v>
      </c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</row>
    <row r="133" ht="15.75" customHeight="1">
      <c r="A133" s="265"/>
      <c r="B133" s="239"/>
      <c r="C133" s="259"/>
      <c r="D133" s="260"/>
      <c r="E133" s="254"/>
      <c r="F133" s="266" t="b">
        <v>0</v>
      </c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</row>
    <row r="134" ht="15.75" customHeight="1">
      <c r="A134" s="258"/>
      <c r="B134" s="239"/>
      <c r="C134" s="259"/>
      <c r="D134" s="260"/>
      <c r="E134" s="261"/>
      <c r="F134" s="269">
        <f>SUMIF(F105:F133, TRUE, D105:D133)</f>
        <v>0</v>
      </c>
      <c r="G134" s="263" t="s">
        <v>475</v>
      </c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</row>
    <row r="135" ht="25.5" customHeight="1">
      <c r="A135" s="264" t="s">
        <v>505</v>
      </c>
      <c r="B135" s="131"/>
      <c r="C135" s="131"/>
      <c r="D135" s="131"/>
      <c r="E135" s="131"/>
      <c r="F135" s="131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  <c r="W135" s="250"/>
      <c r="X135" s="250"/>
      <c r="Y135" s="250"/>
    </row>
    <row r="136" ht="15.75" customHeight="1">
      <c r="A136" s="265"/>
      <c r="B136" s="239"/>
      <c r="C136" s="252" t="s">
        <v>482</v>
      </c>
      <c r="D136" s="253">
        <v>2000.0</v>
      </c>
      <c r="E136" s="254" t="s">
        <v>119</v>
      </c>
      <c r="F136" s="266" t="b">
        <v>0</v>
      </c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</row>
    <row r="137" ht="15.75" customHeight="1">
      <c r="A137" s="265"/>
      <c r="B137" s="239"/>
      <c r="C137" s="252" t="s">
        <v>255</v>
      </c>
      <c r="D137" s="253">
        <v>3500.0</v>
      </c>
      <c r="E137" s="254" t="s">
        <v>93</v>
      </c>
      <c r="F137" s="266" t="b">
        <v>0</v>
      </c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</row>
    <row r="138" ht="15.75" customHeight="1">
      <c r="A138" s="265"/>
      <c r="B138" s="239"/>
      <c r="C138" s="252" t="s">
        <v>351</v>
      </c>
      <c r="D138" s="253">
        <v>2250.0</v>
      </c>
      <c r="E138" s="254" t="s">
        <v>93</v>
      </c>
      <c r="F138" s="266" t="b">
        <v>0</v>
      </c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</row>
    <row r="139" ht="15.75" customHeight="1">
      <c r="A139" s="265"/>
      <c r="B139" s="239"/>
      <c r="C139" s="259"/>
      <c r="D139" s="260"/>
      <c r="E139" s="254"/>
      <c r="F139" s="266" t="b">
        <v>0</v>
      </c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</row>
    <row r="140" ht="15.75" customHeight="1">
      <c r="A140" s="265"/>
      <c r="B140" s="239"/>
      <c r="C140" s="259"/>
      <c r="D140" s="260"/>
      <c r="E140" s="254"/>
      <c r="F140" s="266" t="b">
        <v>0</v>
      </c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</row>
    <row r="141" ht="15.75" customHeight="1">
      <c r="A141" s="265"/>
      <c r="B141" s="239"/>
      <c r="C141" s="259"/>
      <c r="D141" s="260"/>
      <c r="E141" s="254"/>
      <c r="F141" s="266" t="b">
        <v>0</v>
      </c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</row>
    <row r="142" ht="15.75" customHeight="1">
      <c r="A142" s="265"/>
      <c r="B142" s="239"/>
      <c r="C142" s="259"/>
      <c r="D142" s="260"/>
      <c r="E142" s="254"/>
      <c r="F142" s="266" t="b">
        <v>0</v>
      </c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</row>
    <row r="143" ht="15.75" customHeight="1">
      <c r="A143" s="265"/>
      <c r="B143" s="239"/>
      <c r="C143" s="259"/>
      <c r="D143" s="260"/>
      <c r="E143" s="254"/>
      <c r="F143" s="266" t="b">
        <v>0</v>
      </c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</row>
    <row r="144" ht="15.75" customHeight="1">
      <c r="A144" s="265"/>
      <c r="B144" s="239"/>
      <c r="C144" s="259"/>
      <c r="D144" s="260"/>
      <c r="E144" s="254"/>
      <c r="F144" s="266" t="b">
        <v>0</v>
      </c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</row>
    <row r="145" ht="15.75" customHeight="1">
      <c r="A145" s="265"/>
      <c r="B145" s="239"/>
      <c r="C145" s="259"/>
      <c r="D145" s="260"/>
      <c r="E145" s="254"/>
      <c r="F145" s="266" t="b">
        <v>0</v>
      </c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</row>
    <row r="146" ht="15.75" customHeight="1">
      <c r="A146" s="265"/>
      <c r="B146" s="239"/>
      <c r="C146" s="259"/>
      <c r="D146" s="260"/>
      <c r="E146" s="254"/>
      <c r="F146" s="266" t="b">
        <v>0</v>
      </c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</row>
    <row r="147" ht="15.75" customHeight="1">
      <c r="A147" s="265"/>
      <c r="B147" s="239"/>
      <c r="C147" s="259"/>
      <c r="D147" s="260"/>
      <c r="E147" s="254"/>
      <c r="F147" s="266" t="b">
        <v>0</v>
      </c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</row>
    <row r="148" ht="15.75" customHeight="1">
      <c r="A148" s="265"/>
      <c r="B148" s="239"/>
      <c r="C148" s="259"/>
      <c r="D148" s="260"/>
      <c r="E148" s="254"/>
      <c r="F148" s="266" t="b">
        <v>0</v>
      </c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</row>
    <row r="149" ht="15.75" customHeight="1">
      <c r="A149" s="265"/>
      <c r="B149" s="239"/>
      <c r="C149" s="259"/>
      <c r="D149" s="260"/>
      <c r="E149" s="254"/>
      <c r="F149" s="266" t="b">
        <v>0</v>
      </c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</row>
    <row r="150" ht="15.75" customHeight="1">
      <c r="A150" s="265"/>
      <c r="B150" s="239"/>
      <c r="C150" s="259"/>
      <c r="D150" s="260"/>
      <c r="E150" s="254"/>
      <c r="F150" s="266" t="b">
        <v>0</v>
      </c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</row>
    <row r="151" ht="15.75" customHeight="1">
      <c r="A151" s="265"/>
      <c r="B151" s="239"/>
      <c r="C151" s="259"/>
      <c r="D151" s="260"/>
      <c r="E151" s="254"/>
      <c r="F151" s="266" t="b">
        <v>0</v>
      </c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</row>
    <row r="152" ht="15.75" customHeight="1">
      <c r="A152" s="265"/>
      <c r="B152" s="239"/>
      <c r="C152" s="259"/>
      <c r="D152" s="260"/>
      <c r="E152" s="254"/>
      <c r="F152" s="266" t="b">
        <v>0</v>
      </c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</row>
    <row r="153" ht="15.75" customHeight="1">
      <c r="A153" s="265"/>
      <c r="B153" s="239"/>
      <c r="C153" s="259"/>
      <c r="D153" s="260"/>
      <c r="E153" s="254"/>
      <c r="F153" s="266" t="b">
        <v>0</v>
      </c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</row>
    <row r="154" ht="15.75" customHeight="1">
      <c r="A154" s="265"/>
      <c r="B154" s="239"/>
      <c r="C154" s="259"/>
      <c r="D154" s="260"/>
      <c r="E154" s="254"/>
      <c r="F154" s="266" t="b">
        <v>0</v>
      </c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</row>
    <row r="155" ht="15.75" customHeight="1">
      <c r="A155" s="265"/>
      <c r="B155" s="239"/>
      <c r="C155" s="259"/>
      <c r="D155" s="260"/>
      <c r="E155" s="254"/>
      <c r="F155" s="266" t="b">
        <v>0</v>
      </c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</row>
    <row r="156" ht="15.75" customHeight="1">
      <c r="A156" s="265"/>
      <c r="B156" s="239"/>
      <c r="C156" s="259"/>
      <c r="D156" s="260"/>
      <c r="E156" s="254"/>
      <c r="F156" s="266" t="b">
        <v>0</v>
      </c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</row>
    <row r="157" ht="15.75" customHeight="1">
      <c r="A157" s="265"/>
      <c r="B157" s="239"/>
      <c r="C157" s="259"/>
      <c r="D157" s="260"/>
      <c r="E157" s="254"/>
      <c r="F157" s="266" t="b">
        <v>0</v>
      </c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</row>
    <row r="158" ht="15.75" customHeight="1">
      <c r="A158" s="265"/>
      <c r="B158" s="239"/>
      <c r="C158" s="259"/>
      <c r="D158" s="260"/>
      <c r="E158" s="254"/>
      <c r="F158" s="266" t="b">
        <v>0</v>
      </c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</row>
    <row r="159" ht="15.75" customHeight="1">
      <c r="A159" s="265"/>
      <c r="B159" s="239"/>
      <c r="C159" s="259"/>
      <c r="D159" s="260"/>
      <c r="E159" s="254"/>
      <c r="F159" s="266" t="b">
        <v>0</v>
      </c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</row>
    <row r="160" ht="15.75" customHeight="1">
      <c r="A160" s="258"/>
      <c r="B160" s="239"/>
      <c r="C160" s="259"/>
      <c r="D160" s="260"/>
      <c r="E160" s="261"/>
      <c r="F160" s="269">
        <f>SUMIF(F131:F159, TRUE, D131:D159)</f>
        <v>0</v>
      </c>
      <c r="G160" s="263" t="s">
        <v>475</v>
      </c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</row>
    <row r="161" ht="25.5" customHeight="1">
      <c r="A161" s="264" t="s">
        <v>506</v>
      </c>
      <c r="B161" s="131"/>
      <c r="C161" s="131"/>
      <c r="D161" s="131"/>
      <c r="E161" s="131"/>
      <c r="F161" s="131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0"/>
      <c r="X161" s="250"/>
      <c r="Y161" s="250"/>
    </row>
    <row r="162" ht="16.5" customHeight="1">
      <c r="A162" s="265"/>
      <c r="B162" s="239"/>
      <c r="C162" s="252" t="s">
        <v>482</v>
      </c>
      <c r="D162" s="253">
        <v>2000.0</v>
      </c>
      <c r="E162" s="254" t="s">
        <v>119</v>
      </c>
      <c r="F162" s="266" t="b">
        <v>0</v>
      </c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</row>
    <row r="163" ht="15.75" customHeight="1">
      <c r="A163" s="265"/>
      <c r="B163" s="239"/>
      <c r="C163" s="259"/>
      <c r="D163" s="260"/>
      <c r="E163" s="254"/>
      <c r="F163" s="266" t="b">
        <v>0</v>
      </c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</row>
    <row r="164" ht="15.75" customHeight="1">
      <c r="A164" s="265"/>
      <c r="B164" s="239"/>
      <c r="C164" s="259"/>
      <c r="D164" s="260"/>
      <c r="E164" s="254"/>
      <c r="F164" s="266" t="b">
        <v>0</v>
      </c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</row>
    <row r="165" ht="15.75" customHeight="1">
      <c r="A165" s="265"/>
      <c r="B165" s="239"/>
      <c r="C165" s="259"/>
      <c r="D165" s="260"/>
      <c r="E165" s="254"/>
      <c r="F165" s="266" t="b">
        <v>0</v>
      </c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</row>
    <row r="166" ht="15.75" customHeight="1">
      <c r="A166" s="265"/>
      <c r="B166" s="239"/>
      <c r="C166" s="259"/>
      <c r="D166" s="260"/>
      <c r="E166" s="254"/>
      <c r="F166" s="266" t="b">
        <v>0</v>
      </c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</row>
    <row r="167" ht="15.75" customHeight="1">
      <c r="A167" s="265"/>
      <c r="B167" s="239"/>
      <c r="C167" s="259"/>
      <c r="D167" s="260"/>
      <c r="E167" s="254"/>
      <c r="F167" s="266" t="b">
        <v>0</v>
      </c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</row>
    <row r="168" ht="15.75" customHeight="1">
      <c r="A168" s="265"/>
      <c r="B168" s="239"/>
      <c r="C168" s="259"/>
      <c r="D168" s="260"/>
      <c r="E168" s="254"/>
      <c r="F168" s="266" t="b">
        <v>0</v>
      </c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</row>
    <row r="169" ht="15.75" customHeight="1">
      <c r="A169" s="265"/>
      <c r="B169" s="239"/>
      <c r="C169" s="259"/>
      <c r="D169" s="260"/>
      <c r="E169" s="254"/>
      <c r="F169" s="266" t="b">
        <v>0</v>
      </c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</row>
    <row r="170" ht="15.75" customHeight="1">
      <c r="A170" s="265"/>
      <c r="B170" s="239"/>
      <c r="C170" s="259"/>
      <c r="D170" s="260"/>
      <c r="E170" s="254"/>
      <c r="F170" s="266" t="b">
        <v>0</v>
      </c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</row>
    <row r="171" ht="15.75" customHeight="1">
      <c r="A171" s="265"/>
      <c r="B171" s="239"/>
      <c r="C171" s="259"/>
      <c r="D171" s="260"/>
      <c r="E171" s="254"/>
      <c r="F171" s="266" t="b">
        <v>0</v>
      </c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</row>
    <row r="172" ht="15.75" customHeight="1">
      <c r="A172" s="265"/>
      <c r="B172" s="239"/>
      <c r="C172" s="259"/>
      <c r="D172" s="260"/>
      <c r="E172" s="254"/>
      <c r="F172" s="266" t="b">
        <v>0</v>
      </c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</row>
    <row r="173" ht="15.75" customHeight="1">
      <c r="A173" s="265"/>
      <c r="B173" s="239"/>
      <c r="C173" s="259"/>
      <c r="D173" s="260"/>
      <c r="E173" s="254"/>
      <c r="F173" s="266" t="b">
        <v>0</v>
      </c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</row>
    <row r="174" ht="15.75" customHeight="1">
      <c r="A174" s="265"/>
      <c r="B174" s="239"/>
      <c r="C174" s="259"/>
      <c r="D174" s="260"/>
      <c r="E174" s="254"/>
      <c r="F174" s="266" t="b">
        <v>0</v>
      </c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</row>
    <row r="175" ht="15.75" customHeight="1">
      <c r="A175" s="265"/>
      <c r="B175" s="239"/>
      <c r="C175" s="259"/>
      <c r="D175" s="260"/>
      <c r="E175" s="254"/>
      <c r="F175" s="266" t="b">
        <v>0</v>
      </c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</row>
    <row r="176" ht="15.75" customHeight="1">
      <c r="A176" s="265"/>
      <c r="B176" s="239"/>
      <c r="C176" s="259"/>
      <c r="D176" s="260"/>
      <c r="E176" s="254"/>
      <c r="F176" s="266" t="b">
        <v>0</v>
      </c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</row>
    <row r="177" ht="15.75" customHeight="1">
      <c r="A177" s="265"/>
      <c r="B177" s="239"/>
      <c r="C177" s="259"/>
      <c r="D177" s="260"/>
      <c r="E177" s="254"/>
      <c r="F177" s="266" t="b">
        <v>0</v>
      </c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</row>
    <row r="178" ht="15.75" customHeight="1">
      <c r="A178" s="265"/>
      <c r="B178" s="239"/>
      <c r="C178" s="259"/>
      <c r="D178" s="260"/>
      <c r="E178" s="254"/>
      <c r="F178" s="266" t="b">
        <v>0</v>
      </c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</row>
    <row r="179" ht="15.75" customHeight="1">
      <c r="A179" s="265"/>
      <c r="B179" s="239"/>
      <c r="C179" s="259"/>
      <c r="D179" s="260"/>
      <c r="E179" s="254"/>
      <c r="F179" s="266" t="b">
        <v>0</v>
      </c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</row>
    <row r="180" ht="15.75" customHeight="1">
      <c r="A180" s="265"/>
      <c r="B180" s="239"/>
      <c r="C180" s="259"/>
      <c r="D180" s="260"/>
      <c r="E180" s="254"/>
      <c r="F180" s="266" t="b">
        <v>0</v>
      </c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</row>
    <row r="181" ht="15.75" customHeight="1">
      <c r="A181" s="265"/>
      <c r="B181" s="239"/>
      <c r="C181" s="259"/>
      <c r="D181" s="260"/>
      <c r="E181" s="254"/>
      <c r="F181" s="266" t="b">
        <v>0</v>
      </c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</row>
    <row r="182" ht="15.75" customHeight="1">
      <c r="A182" s="265"/>
      <c r="B182" s="239"/>
      <c r="C182" s="259"/>
      <c r="D182" s="260"/>
      <c r="E182" s="254"/>
      <c r="F182" s="266" t="b">
        <v>0</v>
      </c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</row>
    <row r="183" ht="15.75" customHeight="1">
      <c r="A183" s="265"/>
      <c r="B183" s="239"/>
      <c r="C183" s="259"/>
      <c r="D183" s="260"/>
      <c r="E183" s="254"/>
      <c r="F183" s="266" t="b">
        <v>0</v>
      </c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</row>
    <row r="184" ht="15.75" customHeight="1">
      <c r="A184" s="265"/>
      <c r="B184" s="239"/>
      <c r="C184" s="259"/>
      <c r="D184" s="260"/>
      <c r="E184" s="254"/>
      <c r="F184" s="266" t="b">
        <v>0</v>
      </c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</row>
    <row r="185" ht="15.75" customHeight="1">
      <c r="A185" s="265"/>
      <c r="B185" s="239"/>
      <c r="C185" s="259"/>
      <c r="D185" s="260"/>
      <c r="E185" s="254"/>
      <c r="F185" s="266" t="b">
        <v>0</v>
      </c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</row>
    <row r="186" ht="15.75" customHeight="1">
      <c r="A186" s="265"/>
      <c r="B186" s="239"/>
      <c r="C186" s="259"/>
      <c r="D186" s="260"/>
      <c r="E186" s="254"/>
      <c r="F186" s="266" t="b">
        <v>0</v>
      </c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</row>
    <row r="187" ht="15.75" customHeight="1">
      <c r="A187" s="265"/>
      <c r="B187" s="239"/>
      <c r="C187" s="259"/>
      <c r="D187" s="260"/>
      <c r="E187" s="254"/>
      <c r="F187" s="266" t="b">
        <v>0</v>
      </c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</row>
    <row r="188" ht="15.75" customHeight="1">
      <c r="A188" s="258"/>
      <c r="B188" s="239"/>
      <c r="C188" s="259"/>
      <c r="D188" s="260"/>
      <c r="E188" s="261"/>
      <c r="F188" s="269">
        <f>SUMIF(F159:F187, TRUE, D159:D187)</f>
        <v>0</v>
      </c>
      <c r="G188" s="263" t="s">
        <v>475</v>
      </c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</row>
    <row r="189" ht="25.5" customHeight="1">
      <c r="A189" s="264" t="s">
        <v>507</v>
      </c>
      <c r="B189" s="131"/>
      <c r="C189" s="131"/>
      <c r="D189" s="131"/>
      <c r="E189" s="131"/>
      <c r="F189" s="131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</row>
    <row r="190" ht="15.75" customHeight="1">
      <c r="A190" s="265"/>
      <c r="B190" s="239"/>
      <c r="C190" s="252" t="s">
        <v>482</v>
      </c>
      <c r="D190" s="253">
        <v>2000.0</v>
      </c>
      <c r="E190" s="254" t="s">
        <v>119</v>
      </c>
      <c r="F190" s="266" t="b">
        <v>0</v>
      </c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</row>
    <row r="191" ht="15.75" customHeight="1">
      <c r="A191" s="265"/>
      <c r="B191" s="239"/>
      <c r="C191" s="259"/>
      <c r="D191" s="260"/>
      <c r="E191" s="254"/>
      <c r="F191" s="266" t="b">
        <v>0</v>
      </c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</row>
    <row r="192" ht="15.75" customHeight="1">
      <c r="A192" s="265"/>
      <c r="B192" s="239"/>
      <c r="C192" s="259"/>
      <c r="D192" s="260"/>
      <c r="E192" s="254"/>
      <c r="F192" s="266" t="b">
        <v>0</v>
      </c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</row>
    <row r="193" ht="15.75" customHeight="1">
      <c r="A193" s="265"/>
      <c r="B193" s="239"/>
      <c r="C193" s="259"/>
      <c r="D193" s="260"/>
      <c r="E193" s="254"/>
      <c r="F193" s="266" t="b">
        <v>0</v>
      </c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</row>
    <row r="194" ht="15.75" customHeight="1">
      <c r="A194" s="265"/>
      <c r="B194" s="239"/>
      <c r="C194" s="259"/>
      <c r="D194" s="260"/>
      <c r="E194" s="254"/>
      <c r="F194" s="266" t="b">
        <v>0</v>
      </c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</row>
    <row r="195" ht="15.75" customHeight="1">
      <c r="A195" s="265"/>
      <c r="B195" s="239"/>
      <c r="C195" s="259"/>
      <c r="D195" s="260"/>
      <c r="E195" s="254"/>
      <c r="F195" s="266" t="b">
        <v>0</v>
      </c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</row>
    <row r="196" ht="15.75" customHeight="1">
      <c r="A196" s="265"/>
      <c r="B196" s="239"/>
      <c r="C196" s="259"/>
      <c r="D196" s="260"/>
      <c r="E196" s="254"/>
      <c r="F196" s="266" t="b">
        <v>0</v>
      </c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</row>
    <row r="197" ht="15.75" customHeight="1">
      <c r="A197" s="265"/>
      <c r="B197" s="239"/>
      <c r="C197" s="259"/>
      <c r="D197" s="260"/>
      <c r="E197" s="254"/>
      <c r="F197" s="266" t="b">
        <v>0</v>
      </c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</row>
    <row r="198" ht="15.75" customHeight="1">
      <c r="A198" s="265"/>
      <c r="B198" s="239"/>
      <c r="C198" s="259"/>
      <c r="D198" s="260"/>
      <c r="E198" s="254"/>
      <c r="F198" s="266" t="b">
        <v>0</v>
      </c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</row>
    <row r="199" ht="15.75" customHeight="1">
      <c r="A199" s="265"/>
      <c r="B199" s="239"/>
      <c r="C199" s="259"/>
      <c r="D199" s="260"/>
      <c r="E199" s="254"/>
      <c r="F199" s="266" t="b">
        <v>0</v>
      </c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</row>
    <row r="200" ht="15.75" customHeight="1">
      <c r="A200" s="265"/>
      <c r="B200" s="239"/>
      <c r="C200" s="259"/>
      <c r="D200" s="260"/>
      <c r="E200" s="254"/>
      <c r="F200" s="266" t="b">
        <v>0</v>
      </c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</row>
    <row r="201" ht="15.75" customHeight="1">
      <c r="A201" s="265"/>
      <c r="B201" s="239"/>
      <c r="C201" s="259"/>
      <c r="D201" s="260"/>
      <c r="E201" s="254"/>
      <c r="F201" s="266" t="b">
        <v>0</v>
      </c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</row>
    <row r="202" ht="15.75" customHeight="1">
      <c r="A202" s="265"/>
      <c r="B202" s="239"/>
      <c r="C202" s="259"/>
      <c r="D202" s="260"/>
      <c r="E202" s="254"/>
      <c r="F202" s="266" t="b">
        <v>0</v>
      </c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</row>
    <row r="203" ht="15.75" customHeight="1">
      <c r="A203" s="265"/>
      <c r="B203" s="239"/>
      <c r="C203" s="259"/>
      <c r="D203" s="260"/>
      <c r="E203" s="254"/>
      <c r="F203" s="266" t="b">
        <v>0</v>
      </c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</row>
    <row r="204" ht="15.75" customHeight="1">
      <c r="A204" s="265"/>
      <c r="B204" s="239"/>
      <c r="C204" s="259"/>
      <c r="D204" s="260"/>
      <c r="E204" s="254"/>
      <c r="F204" s="266" t="b">
        <v>0</v>
      </c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</row>
    <row r="205" ht="15.75" customHeight="1">
      <c r="A205" s="265"/>
      <c r="B205" s="239"/>
      <c r="C205" s="259"/>
      <c r="D205" s="260"/>
      <c r="E205" s="254"/>
      <c r="F205" s="266" t="b">
        <v>0</v>
      </c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</row>
    <row r="206" ht="15.75" customHeight="1">
      <c r="A206" s="265"/>
      <c r="B206" s="239"/>
      <c r="C206" s="259"/>
      <c r="D206" s="260"/>
      <c r="E206" s="254"/>
      <c r="F206" s="266" t="b">
        <v>0</v>
      </c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</row>
    <row r="207" ht="15.75" customHeight="1">
      <c r="A207" s="265"/>
      <c r="B207" s="239"/>
      <c r="C207" s="259"/>
      <c r="D207" s="260"/>
      <c r="E207" s="254"/>
      <c r="F207" s="266" t="b">
        <v>0</v>
      </c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</row>
    <row r="208" ht="15.75" customHeight="1">
      <c r="A208" s="265"/>
      <c r="B208" s="239"/>
      <c r="C208" s="259"/>
      <c r="D208" s="260"/>
      <c r="E208" s="254"/>
      <c r="F208" s="266" t="b">
        <v>0</v>
      </c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</row>
    <row r="209" ht="15.75" customHeight="1">
      <c r="A209" s="265"/>
      <c r="B209" s="239"/>
      <c r="C209" s="259"/>
      <c r="D209" s="260"/>
      <c r="E209" s="254"/>
      <c r="F209" s="266" t="b">
        <v>0</v>
      </c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</row>
    <row r="210" ht="15.75" customHeight="1">
      <c r="A210" s="265"/>
      <c r="B210" s="239"/>
      <c r="C210" s="259"/>
      <c r="D210" s="260"/>
      <c r="E210" s="254"/>
      <c r="F210" s="266" t="b">
        <v>0</v>
      </c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</row>
    <row r="211" ht="15.75" customHeight="1">
      <c r="A211" s="265"/>
      <c r="B211" s="239"/>
      <c r="C211" s="259"/>
      <c r="D211" s="260"/>
      <c r="E211" s="254"/>
      <c r="F211" s="266" t="b">
        <v>0</v>
      </c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</row>
    <row r="212" ht="15.75" customHeight="1">
      <c r="A212" s="265"/>
      <c r="B212" s="239"/>
      <c r="C212" s="259"/>
      <c r="D212" s="260"/>
      <c r="E212" s="254"/>
      <c r="F212" s="266" t="b">
        <v>0</v>
      </c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</row>
    <row r="213" ht="15.75" customHeight="1">
      <c r="A213" s="265"/>
      <c r="B213" s="239"/>
      <c r="C213" s="259"/>
      <c r="D213" s="260"/>
      <c r="E213" s="254"/>
      <c r="F213" s="266" t="b">
        <v>0</v>
      </c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</row>
    <row r="214" ht="15.75" customHeight="1">
      <c r="A214" s="265"/>
      <c r="B214" s="239"/>
      <c r="C214" s="259"/>
      <c r="D214" s="260"/>
      <c r="E214" s="254"/>
      <c r="F214" s="266" t="b">
        <v>0</v>
      </c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</row>
    <row r="215" ht="15.75" customHeight="1">
      <c r="A215" s="258"/>
      <c r="B215" s="239"/>
      <c r="C215" s="259"/>
      <c r="D215" s="260"/>
      <c r="E215" s="261"/>
      <c r="F215" s="269">
        <f>SUMIF(F186:F214, TRUE, D186:D214)</f>
        <v>0</v>
      </c>
      <c r="G215" s="263" t="s">
        <v>475</v>
      </c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</row>
    <row r="216" ht="25.5" customHeight="1">
      <c r="A216" s="264" t="s">
        <v>508</v>
      </c>
      <c r="B216" s="131"/>
      <c r="C216" s="131"/>
      <c r="D216" s="131"/>
      <c r="E216" s="131"/>
      <c r="F216" s="131"/>
      <c r="G216" s="250"/>
      <c r="H216" s="250"/>
      <c r="I216" s="250"/>
      <c r="J216" s="250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  <c r="W216" s="250"/>
      <c r="X216" s="250"/>
      <c r="Y216" s="250"/>
    </row>
    <row r="217" ht="15.75" customHeight="1">
      <c r="A217" s="265"/>
      <c r="B217" s="239"/>
      <c r="C217" s="252" t="s">
        <v>482</v>
      </c>
      <c r="D217" s="253">
        <v>2000.0</v>
      </c>
      <c r="E217" s="254" t="s">
        <v>119</v>
      </c>
      <c r="F217" s="266" t="b">
        <v>0</v>
      </c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</row>
    <row r="218" ht="15.75" customHeight="1">
      <c r="A218" s="265"/>
      <c r="B218" s="239"/>
      <c r="C218" s="252" t="s">
        <v>351</v>
      </c>
      <c r="D218" s="253">
        <v>500.0</v>
      </c>
      <c r="E218" s="254" t="s">
        <v>93</v>
      </c>
      <c r="F218" s="266" t="b">
        <v>0</v>
      </c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</row>
    <row r="219" ht="15.75" customHeight="1">
      <c r="A219" s="265"/>
      <c r="B219" s="239"/>
      <c r="C219" s="252" t="s">
        <v>485</v>
      </c>
      <c r="D219" s="253">
        <v>500.0</v>
      </c>
      <c r="E219" s="254" t="s">
        <v>93</v>
      </c>
      <c r="F219" s="266" t="b">
        <v>0</v>
      </c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</row>
    <row r="220" ht="15.75" customHeight="1">
      <c r="A220" s="265"/>
      <c r="B220" s="239"/>
      <c r="C220" s="252" t="s">
        <v>484</v>
      </c>
      <c r="D220" s="253">
        <v>744.0</v>
      </c>
      <c r="E220" s="254" t="s">
        <v>93</v>
      </c>
      <c r="F220" s="266" t="b">
        <v>0</v>
      </c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</row>
    <row r="221" ht="15.75" customHeight="1">
      <c r="A221" s="265"/>
      <c r="B221" s="239"/>
      <c r="C221" s="259"/>
      <c r="D221" s="260"/>
      <c r="E221" s="254"/>
      <c r="F221" s="266" t="b">
        <v>0</v>
      </c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</row>
    <row r="222" ht="15.75" customHeight="1">
      <c r="A222" s="265"/>
      <c r="B222" s="239"/>
      <c r="C222" s="259"/>
      <c r="D222" s="260"/>
      <c r="E222" s="254"/>
      <c r="F222" s="266" t="b">
        <v>0</v>
      </c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</row>
    <row r="223" ht="15.75" customHeight="1">
      <c r="A223" s="265"/>
      <c r="B223" s="239"/>
      <c r="C223" s="259"/>
      <c r="D223" s="260"/>
      <c r="E223" s="254"/>
      <c r="F223" s="266" t="b">
        <v>0</v>
      </c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</row>
    <row r="224" ht="15.75" customHeight="1">
      <c r="A224" s="265"/>
      <c r="B224" s="239"/>
      <c r="C224" s="259"/>
      <c r="D224" s="260"/>
      <c r="E224" s="254"/>
      <c r="F224" s="266" t="b">
        <v>0</v>
      </c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</row>
    <row r="225" ht="15.75" customHeight="1">
      <c r="A225" s="265"/>
      <c r="B225" s="239"/>
      <c r="C225" s="259"/>
      <c r="D225" s="260"/>
      <c r="E225" s="254"/>
      <c r="F225" s="266" t="b">
        <v>0</v>
      </c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</row>
    <row r="226" ht="15.75" customHeight="1">
      <c r="A226" s="265"/>
      <c r="B226" s="239"/>
      <c r="C226" s="259"/>
      <c r="D226" s="260"/>
      <c r="E226" s="254"/>
      <c r="F226" s="266" t="b">
        <v>0</v>
      </c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</row>
    <row r="227" ht="15.75" customHeight="1">
      <c r="A227" s="265"/>
      <c r="B227" s="239"/>
      <c r="C227" s="259"/>
      <c r="D227" s="260"/>
      <c r="E227" s="254"/>
      <c r="F227" s="266" t="b">
        <v>0</v>
      </c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</row>
    <row r="228" ht="15.75" customHeight="1">
      <c r="A228" s="265"/>
      <c r="B228" s="239"/>
      <c r="C228" s="259"/>
      <c r="D228" s="260"/>
      <c r="E228" s="254"/>
      <c r="F228" s="266" t="b">
        <v>0</v>
      </c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</row>
    <row r="229" ht="15.75" customHeight="1">
      <c r="A229" s="265"/>
      <c r="B229" s="239"/>
      <c r="C229" s="259"/>
      <c r="D229" s="260"/>
      <c r="E229" s="254"/>
      <c r="F229" s="266" t="b">
        <v>0</v>
      </c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</row>
    <row r="230" ht="15.75" customHeight="1">
      <c r="A230" s="265"/>
      <c r="B230" s="239"/>
      <c r="C230" s="259"/>
      <c r="D230" s="260"/>
      <c r="E230" s="254"/>
      <c r="F230" s="266" t="b">
        <v>0</v>
      </c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</row>
    <row r="231" ht="15.75" customHeight="1">
      <c r="A231" s="265"/>
      <c r="B231" s="239"/>
      <c r="C231" s="259"/>
      <c r="D231" s="260"/>
      <c r="E231" s="254"/>
      <c r="F231" s="266" t="b">
        <v>0</v>
      </c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</row>
    <row r="232" ht="15.75" customHeight="1">
      <c r="A232" s="265"/>
      <c r="B232" s="239"/>
      <c r="C232" s="259"/>
      <c r="D232" s="260"/>
      <c r="E232" s="254"/>
      <c r="F232" s="266" t="b">
        <v>0</v>
      </c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</row>
    <row r="233" ht="15.75" customHeight="1">
      <c r="A233" s="265"/>
      <c r="B233" s="239"/>
      <c r="C233" s="259"/>
      <c r="D233" s="260"/>
      <c r="E233" s="254"/>
      <c r="F233" s="266" t="b">
        <v>0</v>
      </c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</row>
    <row r="234" ht="15.75" customHeight="1">
      <c r="A234" s="265"/>
      <c r="B234" s="239"/>
      <c r="C234" s="259"/>
      <c r="D234" s="260"/>
      <c r="E234" s="254"/>
      <c r="F234" s="266" t="b">
        <v>0</v>
      </c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</row>
    <row r="235" ht="15.75" customHeight="1">
      <c r="A235" s="265"/>
      <c r="B235" s="239"/>
      <c r="C235" s="259"/>
      <c r="D235" s="260"/>
      <c r="E235" s="254"/>
      <c r="F235" s="266" t="b">
        <v>0</v>
      </c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</row>
    <row r="236" ht="15.75" customHeight="1">
      <c r="A236" s="265"/>
      <c r="B236" s="239"/>
      <c r="C236" s="259"/>
      <c r="D236" s="260"/>
      <c r="E236" s="254"/>
      <c r="F236" s="266" t="b">
        <v>0</v>
      </c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</row>
    <row r="237" ht="15.75" customHeight="1">
      <c r="A237" s="265"/>
      <c r="B237" s="239"/>
      <c r="C237" s="259"/>
      <c r="D237" s="260"/>
      <c r="E237" s="254"/>
      <c r="F237" s="266" t="b">
        <v>0</v>
      </c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</row>
    <row r="238" ht="15.75" customHeight="1">
      <c r="A238" s="265"/>
      <c r="B238" s="239"/>
      <c r="C238" s="259"/>
      <c r="D238" s="260"/>
      <c r="E238" s="254"/>
      <c r="F238" s="266" t="b">
        <v>0</v>
      </c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</row>
    <row r="239" ht="15.75" customHeight="1">
      <c r="A239" s="265"/>
      <c r="B239" s="239"/>
      <c r="C239" s="259"/>
      <c r="D239" s="260"/>
      <c r="E239" s="254"/>
      <c r="F239" s="266" t="b">
        <v>0</v>
      </c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</row>
    <row r="240" ht="15.75" customHeight="1">
      <c r="A240" s="265"/>
      <c r="B240" s="239"/>
      <c r="C240" s="259"/>
      <c r="D240" s="260"/>
      <c r="E240" s="254"/>
      <c r="F240" s="266" t="b">
        <v>0</v>
      </c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</row>
    <row r="241" ht="15.75" customHeight="1">
      <c r="A241" s="265"/>
      <c r="B241" s="239"/>
      <c r="C241" s="259"/>
      <c r="D241" s="260"/>
      <c r="E241" s="254"/>
      <c r="F241" s="266" t="b">
        <v>0</v>
      </c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</row>
    <row r="242" ht="15.75" customHeight="1">
      <c r="A242" s="265"/>
      <c r="B242" s="239"/>
      <c r="C242" s="259"/>
      <c r="D242" s="260"/>
      <c r="E242" s="254"/>
      <c r="F242" s="266" t="b">
        <v>0</v>
      </c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</row>
    <row r="243" ht="15.75" customHeight="1">
      <c r="A243" s="265"/>
      <c r="B243" s="239"/>
      <c r="C243" s="259"/>
      <c r="D243" s="260"/>
      <c r="E243" s="254"/>
      <c r="F243" s="266" t="b">
        <v>0</v>
      </c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</row>
    <row r="244" ht="15.75" customHeight="1">
      <c r="A244" s="265"/>
      <c r="B244" s="239"/>
      <c r="C244" s="259"/>
      <c r="D244" s="260"/>
      <c r="E244" s="254"/>
      <c r="F244" s="266" t="b">
        <v>0</v>
      </c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</row>
    <row r="245" ht="15.75" customHeight="1">
      <c r="A245" s="265"/>
      <c r="B245" s="239"/>
      <c r="C245" s="259"/>
      <c r="D245" s="260"/>
      <c r="E245" s="254"/>
      <c r="F245" s="266" t="b">
        <v>0</v>
      </c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</row>
    <row r="246" ht="15.75" customHeight="1">
      <c r="A246" s="265"/>
      <c r="B246" s="239"/>
      <c r="C246" s="259"/>
      <c r="D246" s="275"/>
      <c r="E246" s="254"/>
      <c r="F246" s="266" t="b">
        <v>0</v>
      </c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</row>
    <row r="247" ht="15.75" customHeight="1">
      <c r="A247" s="258"/>
      <c r="B247" s="239"/>
      <c r="C247" s="259"/>
      <c r="D247" s="260"/>
      <c r="E247" s="261"/>
      <c r="F247" s="269">
        <f>SUMIF(F218:F246, TRUE, D218:D246)</f>
        <v>0</v>
      </c>
      <c r="G247" s="263" t="s">
        <v>475</v>
      </c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</row>
    <row r="248" ht="15.75" customHeight="1">
      <c r="A248" s="238"/>
      <c r="B248" s="239"/>
      <c r="C248" s="238" t="s">
        <v>468</v>
      </c>
      <c r="D248" s="238"/>
      <c r="E248" s="238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</row>
    <row r="249" ht="15.75" customHeight="1">
      <c r="A249" s="238"/>
      <c r="B249" s="239"/>
      <c r="C249" s="238" t="s">
        <v>468</v>
      </c>
      <c r="D249" s="238"/>
      <c r="E249" s="238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</row>
    <row r="250" ht="15.75" customHeight="1">
      <c r="A250" s="238"/>
      <c r="B250" s="239"/>
      <c r="C250" s="238" t="s">
        <v>468</v>
      </c>
      <c r="D250" s="238"/>
      <c r="E250" s="238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</row>
    <row r="251" ht="15.75" customHeight="1">
      <c r="A251" s="238"/>
      <c r="B251" s="239"/>
      <c r="C251" s="238" t="s">
        <v>468</v>
      </c>
      <c r="D251" s="238"/>
      <c r="E251" s="238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</row>
    <row r="252" ht="15.75" customHeight="1">
      <c r="A252" s="238"/>
      <c r="B252" s="239"/>
      <c r="C252" s="238" t="s">
        <v>468</v>
      </c>
      <c r="D252" s="238"/>
      <c r="E252" s="238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</row>
    <row r="253" ht="15.75" customHeight="1">
      <c r="A253" s="238"/>
      <c r="B253" s="239"/>
      <c r="C253" s="238" t="s">
        <v>468</v>
      </c>
      <c r="D253" s="238"/>
      <c r="E253" s="238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</row>
    <row r="254" ht="15.75" customHeight="1">
      <c r="A254" s="238"/>
      <c r="B254" s="239"/>
      <c r="C254" s="238" t="s">
        <v>468</v>
      </c>
      <c r="D254" s="238"/>
      <c r="E254" s="238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</row>
    <row r="255" ht="15.75" customHeight="1">
      <c r="A255" s="238"/>
      <c r="B255" s="239"/>
      <c r="C255" s="238" t="s">
        <v>468</v>
      </c>
      <c r="D255" s="238"/>
      <c r="E255" s="238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</row>
    <row r="256" ht="15.75" customHeight="1">
      <c r="A256" s="238"/>
      <c r="B256" s="239"/>
      <c r="C256" s="238" t="s">
        <v>468</v>
      </c>
      <c r="D256" s="238"/>
      <c r="E256" s="238"/>
      <c r="F256" s="240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</row>
    <row r="257" ht="15.75" customHeight="1">
      <c r="A257" s="238"/>
      <c r="B257" s="239"/>
      <c r="C257" s="238" t="s">
        <v>468</v>
      </c>
      <c r="D257" s="238"/>
      <c r="E257" s="238"/>
      <c r="F257" s="240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</row>
    <row r="258" ht="15.75" customHeight="1">
      <c r="A258" s="238"/>
      <c r="B258" s="239"/>
      <c r="C258" s="238" t="s">
        <v>468</v>
      </c>
      <c r="D258" s="238"/>
      <c r="E258" s="238"/>
      <c r="F258" s="240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</row>
    <row r="259" ht="15.75" customHeight="1">
      <c r="A259" s="238"/>
      <c r="B259" s="239"/>
      <c r="C259" s="238" t="s">
        <v>468</v>
      </c>
      <c r="D259" s="238"/>
      <c r="E259" s="238"/>
      <c r="F259" s="240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</row>
    <row r="260" ht="15.75" customHeight="1">
      <c r="A260" s="238"/>
      <c r="B260" s="239"/>
      <c r="C260" s="238" t="s">
        <v>468</v>
      </c>
      <c r="D260" s="238"/>
      <c r="E260" s="238"/>
      <c r="F260" s="240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</row>
    <row r="261" ht="15.75" customHeight="1">
      <c r="A261" s="238"/>
      <c r="B261" s="239"/>
      <c r="C261" s="238" t="s">
        <v>468</v>
      </c>
      <c r="D261" s="238"/>
      <c r="E261" s="238"/>
      <c r="F261" s="240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</row>
    <row r="262" ht="15.75" customHeight="1">
      <c r="A262" s="238"/>
      <c r="B262" s="239"/>
      <c r="C262" s="238" t="s">
        <v>468</v>
      </c>
      <c r="D262" s="238"/>
      <c r="E262" s="238"/>
      <c r="F262" s="240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</row>
    <row r="263" ht="15.75" customHeight="1">
      <c r="A263" s="238"/>
      <c r="B263" s="239"/>
      <c r="C263" s="238" t="s">
        <v>468</v>
      </c>
      <c r="D263" s="238"/>
      <c r="E263" s="238"/>
      <c r="F263" s="240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</row>
    <row r="264" ht="15.75" customHeight="1">
      <c r="A264" s="238"/>
      <c r="B264" s="239"/>
      <c r="C264" s="238" t="s">
        <v>468</v>
      </c>
      <c r="D264" s="238"/>
      <c r="E264" s="238"/>
      <c r="F264" s="240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</row>
    <row r="265" ht="15.75" customHeight="1">
      <c r="A265" s="238"/>
      <c r="B265" s="239"/>
      <c r="C265" s="238" t="s">
        <v>468</v>
      </c>
      <c r="D265" s="238"/>
      <c r="E265" s="238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</row>
    <row r="266" ht="15.75" customHeight="1">
      <c r="A266" s="238"/>
      <c r="B266" s="239"/>
      <c r="C266" s="238" t="s">
        <v>468</v>
      </c>
      <c r="D266" s="238"/>
      <c r="E266" s="238"/>
      <c r="F266" s="240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</row>
    <row r="267" ht="15.75" customHeight="1">
      <c r="A267" s="238"/>
      <c r="B267" s="239"/>
      <c r="C267" s="238" t="s">
        <v>468</v>
      </c>
      <c r="D267" s="238"/>
      <c r="E267" s="238"/>
      <c r="F267" s="240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</row>
    <row r="268" ht="15.75" customHeight="1">
      <c r="A268" s="238"/>
      <c r="B268" s="239"/>
      <c r="C268" s="238" t="s">
        <v>468</v>
      </c>
      <c r="D268" s="238"/>
      <c r="E268" s="238"/>
      <c r="F268" s="240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</row>
    <row r="269" ht="15.75" customHeight="1">
      <c r="A269" s="238"/>
      <c r="B269" s="239"/>
      <c r="C269" s="238" t="s">
        <v>468</v>
      </c>
      <c r="D269" s="238"/>
      <c r="E269" s="238"/>
      <c r="F269" s="240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</row>
    <row r="270" ht="15.75" customHeight="1">
      <c r="A270" s="238"/>
      <c r="B270" s="239"/>
      <c r="C270" s="238" t="s">
        <v>468</v>
      </c>
      <c r="D270" s="238"/>
      <c r="E270" s="238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</row>
    <row r="271" ht="15.75" customHeight="1">
      <c r="A271" s="238"/>
      <c r="B271" s="239"/>
      <c r="C271" s="238" t="s">
        <v>468</v>
      </c>
      <c r="D271" s="238"/>
      <c r="E271" s="238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</row>
    <row r="272" ht="15.75" customHeight="1">
      <c r="A272" s="238"/>
      <c r="B272" s="239"/>
      <c r="C272" s="238" t="s">
        <v>468</v>
      </c>
      <c r="D272" s="238"/>
      <c r="E272" s="238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</row>
    <row r="273" ht="15.75" customHeight="1">
      <c r="A273" s="238"/>
      <c r="B273" s="239"/>
      <c r="C273" s="238" t="s">
        <v>468</v>
      </c>
      <c r="D273" s="238"/>
      <c r="E273" s="238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</row>
    <row r="274" ht="15.75" customHeight="1">
      <c r="A274" s="238"/>
      <c r="B274" s="239"/>
      <c r="C274" s="238" t="s">
        <v>468</v>
      </c>
      <c r="D274" s="238"/>
      <c r="E274" s="238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</row>
    <row r="275" ht="15.75" customHeight="1">
      <c r="A275" s="238"/>
      <c r="B275" s="239"/>
      <c r="C275" s="238" t="s">
        <v>468</v>
      </c>
      <c r="D275" s="238"/>
      <c r="E275" s="238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</row>
    <row r="276" ht="15.75" customHeight="1">
      <c r="A276" s="238"/>
      <c r="B276" s="239"/>
      <c r="C276" s="238" t="s">
        <v>468</v>
      </c>
      <c r="D276" s="238"/>
      <c r="E276" s="238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</row>
    <row r="277" ht="15.75" customHeight="1">
      <c r="A277" s="238"/>
      <c r="B277" s="239"/>
      <c r="C277" s="238" t="s">
        <v>468</v>
      </c>
      <c r="D277" s="238"/>
      <c r="E277" s="238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</row>
    <row r="278" ht="15.75" customHeight="1">
      <c r="A278" s="238"/>
      <c r="B278" s="239"/>
      <c r="C278" s="238" t="s">
        <v>468</v>
      </c>
      <c r="D278" s="238"/>
      <c r="E278" s="238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</row>
    <row r="279" ht="15.75" customHeight="1">
      <c r="A279" s="238"/>
      <c r="B279" s="239"/>
      <c r="C279" s="238" t="s">
        <v>468</v>
      </c>
      <c r="D279" s="238"/>
      <c r="E279" s="238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</row>
    <row r="280" ht="15.75" customHeight="1">
      <c r="A280" s="238"/>
      <c r="B280" s="239"/>
      <c r="C280" s="238" t="s">
        <v>468</v>
      </c>
      <c r="D280" s="238"/>
      <c r="E280" s="238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</row>
    <row r="281" ht="15.75" customHeight="1">
      <c r="A281" s="238"/>
      <c r="B281" s="239"/>
      <c r="C281" s="238" t="s">
        <v>468</v>
      </c>
      <c r="D281" s="238"/>
      <c r="E281" s="238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</row>
    <row r="282" ht="15.75" customHeight="1">
      <c r="A282" s="238"/>
      <c r="B282" s="239"/>
      <c r="C282" s="238" t="s">
        <v>468</v>
      </c>
      <c r="D282" s="238"/>
      <c r="E282" s="238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</row>
    <row r="283" ht="15.75" customHeight="1">
      <c r="A283" s="238"/>
      <c r="B283" s="239"/>
      <c r="C283" s="238" t="s">
        <v>468</v>
      </c>
      <c r="D283" s="238"/>
      <c r="E283" s="238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</row>
    <row r="284" ht="15.75" customHeight="1">
      <c r="A284" s="238"/>
      <c r="B284" s="239"/>
      <c r="C284" s="238" t="s">
        <v>468</v>
      </c>
      <c r="D284" s="238"/>
      <c r="E284" s="238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</row>
    <row r="285" ht="15.75" customHeight="1">
      <c r="A285" s="238"/>
      <c r="B285" s="239"/>
      <c r="C285" s="238" t="s">
        <v>468</v>
      </c>
      <c r="D285" s="238"/>
      <c r="E285" s="238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</row>
    <row r="286" ht="15.75" customHeight="1">
      <c r="A286" s="238"/>
      <c r="B286" s="239"/>
      <c r="C286" s="238" t="s">
        <v>468</v>
      </c>
      <c r="D286" s="238"/>
      <c r="E286" s="238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</row>
    <row r="287" ht="15.75" customHeight="1">
      <c r="A287" s="238"/>
      <c r="B287" s="239"/>
      <c r="C287" s="238" t="s">
        <v>468</v>
      </c>
      <c r="D287" s="238"/>
      <c r="E287" s="238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</row>
    <row r="288" ht="15.75" customHeight="1">
      <c r="A288" s="238"/>
      <c r="B288" s="239"/>
      <c r="C288" s="238" t="s">
        <v>468</v>
      </c>
      <c r="D288" s="238"/>
      <c r="E288" s="238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</row>
    <row r="289" ht="15.75" customHeight="1">
      <c r="A289" s="238"/>
      <c r="B289" s="239"/>
      <c r="C289" s="238" t="s">
        <v>468</v>
      </c>
      <c r="D289" s="238"/>
      <c r="E289" s="238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</row>
    <row r="290" ht="15.75" customHeight="1">
      <c r="A290" s="238"/>
      <c r="B290" s="239"/>
      <c r="C290" s="238" t="s">
        <v>468</v>
      </c>
      <c r="D290" s="238"/>
      <c r="E290" s="238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</row>
    <row r="291" ht="15.75" customHeight="1">
      <c r="A291" s="238"/>
      <c r="B291" s="239"/>
      <c r="C291" s="238" t="s">
        <v>468</v>
      </c>
      <c r="D291" s="238"/>
      <c r="E291" s="238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</row>
    <row r="292" ht="15.75" customHeight="1">
      <c r="A292" s="238"/>
      <c r="B292" s="239"/>
      <c r="C292" s="238" t="s">
        <v>468</v>
      </c>
      <c r="D292" s="238"/>
      <c r="E292" s="238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</row>
    <row r="293" ht="15.75" customHeight="1">
      <c r="A293" s="238"/>
      <c r="B293" s="239"/>
      <c r="C293" s="238" t="s">
        <v>468</v>
      </c>
      <c r="D293" s="238"/>
      <c r="E293" s="238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</row>
    <row r="294" ht="15.75" customHeight="1">
      <c r="A294" s="238"/>
      <c r="B294" s="239"/>
      <c r="C294" s="238" t="s">
        <v>468</v>
      </c>
      <c r="D294" s="238"/>
      <c r="E294" s="238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</row>
    <row r="295" ht="15.75" customHeight="1">
      <c r="A295" s="238"/>
      <c r="B295" s="239"/>
      <c r="C295" s="238" t="s">
        <v>468</v>
      </c>
      <c r="D295" s="238"/>
      <c r="E295" s="238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</row>
    <row r="296" ht="15.75" customHeight="1">
      <c r="A296" s="238"/>
      <c r="B296" s="239"/>
      <c r="C296" s="238" t="s">
        <v>468</v>
      </c>
      <c r="D296" s="238"/>
      <c r="E296" s="238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</row>
    <row r="297" ht="15.75" customHeight="1">
      <c r="A297" s="238"/>
      <c r="B297" s="239"/>
      <c r="C297" s="238" t="s">
        <v>468</v>
      </c>
      <c r="D297" s="238"/>
      <c r="E297" s="238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</row>
    <row r="298" ht="15.75" customHeight="1">
      <c r="A298" s="238"/>
      <c r="B298" s="239"/>
      <c r="C298" s="238" t="s">
        <v>468</v>
      </c>
      <c r="D298" s="238"/>
      <c r="E298" s="238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</row>
    <row r="299" ht="15.75" customHeight="1">
      <c r="A299" s="238"/>
      <c r="B299" s="239"/>
      <c r="C299" s="238" t="s">
        <v>468</v>
      </c>
      <c r="D299" s="238"/>
      <c r="E299" s="238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</row>
    <row r="300" ht="15.75" customHeight="1">
      <c r="A300" s="238"/>
      <c r="B300" s="239"/>
      <c r="C300" s="238" t="s">
        <v>468</v>
      </c>
      <c r="D300" s="238"/>
      <c r="E300" s="238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</row>
    <row r="301" ht="15.75" customHeight="1">
      <c r="A301" s="238"/>
      <c r="B301" s="239"/>
      <c r="C301" s="238" t="s">
        <v>468</v>
      </c>
      <c r="D301" s="238"/>
      <c r="E301" s="238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</row>
    <row r="302" ht="15.75" customHeight="1">
      <c r="A302" s="238"/>
      <c r="B302" s="239"/>
      <c r="C302" s="238" t="s">
        <v>468</v>
      </c>
      <c r="D302" s="238"/>
      <c r="E302" s="238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</row>
    <row r="303" ht="15.75" customHeight="1">
      <c r="A303" s="238"/>
      <c r="B303" s="239"/>
      <c r="C303" s="238" t="s">
        <v>468</v>
      </c>
      <c r="D303" s="238"/>
      <c r="E303" s="238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</row>
    <row r="304" ht="15.75" customHeight="1">
      <c r="A304" s="238"/>
      <c r="B304" s="239"/>
      <c r="C304" s="238" t="s">
        <v>468</v>
      </c>
      <c r="D304" s="238"/>
      <c r="E304" s="238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</row>
    <row r="305" ht="15.75" customHeight="1">
      <c r="A305" s="238"/>
      <c r="B305" s="239"/>
      <c r="C305" s="238" t="s">
        <v>468</v>
      </c>
      <c r="D305" s="238"/>
      <c r="E305" s="238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</row>
    <row r="306" ht="15.75" customHeight="1">
      <c r="A306" s="238"/>
      <c r="B306" s="239"/>
      <c r="C306" s="238" t="s">
        <v>468</v>
      </c>
      <c r="D306" s="238"/>
      <c r="E306" s="238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</row>
    <row r="307" ht="15.75" customHeight="1">
      <c r="A307" s="238"/>
      <c r="B307" s="239"/>
      <c r="C307" s="238" t="s">
        <v>468</v>
      </c>
      <c r="D307" s="238"/>
      <c r="E307" s="238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</row>
    <row r="308" ht="15.75" customHeight="1">
      <c r="A308" s="238"/>
      <c r="B308" s="239"/>
      <c r="C308" s="238" t="s">
        <v>468</v>
      </c>
      <c r="D308" s="238"/>
      <c r="E308" s="238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</row>
    <row r="309" ht="15.75" customHeight="1">
      <c r="A309" s="238"/>
      <c r="B309" s="239"/>
      <c r="C309" s="238" t="s">
        <v>468</v>
      </c>
      <c r="D309" s="238"/>
      <c r="E309" s="238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</row>
    <row r="310" ht="15.75" customHeight="1">
      <c r="A310" s="238"/>
      <c r="B310" s="239"/>
      <c r="C310" s="238" t="s">
        <v>468</v>
      </c>
      <c r="D310" s="238"/>
      <c r="E310" s="238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</row>
    <row r="311" ht="15.75" customHeight="1">
      <c r="A311" s="238"/>
      <c r="B311" s="239"/>
      <c r="C311" s="238" t="s">
        <v>468</v>
      </c>
      <c r="D311" s="238"/>
      <c r="E311" s="238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</row>
    <row r="312" ht="15.75" customHeight="1">
      <c r="A312" s="238"/>
      <c r="B312" s="239"/>
      <c r="C312" s="238" t="s">
        <v>468</v>
      </c>
      <c r="D312" s="238"/>
      <c r="E312" s="238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</row>
    <row r="313" ht="15.75" customHeight="1">
      <c r="A313" s="238"/>
      <c r="B313" s="239"/>
      <c r="C313" s="238" t="s">
        <v>468</v>
      </c>
      <c r="D313" s="238"/>
      <c r="E313" s="238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</row>
    <row r="314" ht="15.75" customHeight="1">
      <c r="A314" s="238"/>
      <c r="B314" s="239"/>
      <c r="C314" s="238" t="s">
        <v>468</v>
      </c>
      <c r="D314" s="238"/>
      <c r="E314" s="238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</row>
    <row r="315" ht="15.75" customHeight="1">
      <c r="A315" s="238"/>
      <c r="B315" s="239"/>
      <c r="C315" s="238" t="s">
        <v>468</v>
      </c>
      <c r="D315" s="238"/>
      <c r="E315" s="238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</row>
    <row r="316" ht="15.75" customHeight="1">
      <c r="A316" s="238"/>
      <c r="B316" s="239"/>
      <c r="C316" s="238" t="s">
        <v>468</v>
      </c>
      <c r="D316" s="238"/>
      <c r="E316" s="238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</row>
    <row r="317" ht="15.75" customHeight="1">
      <c r="A317" s="238"/>
      <c r="B317" s="239"/>
      <c r="C317" s="238" t="s">
        <v>468</v>
      </c>
      <c r="D317" s="238"/>
      <c r="E317" s="238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</row>
    <row r="318" ht="15.75" customHeight="1">
      <c r="A318" s="238"/>
      <c r="B318" s="239"/>
      <c r="C318" s="238" t="s">
        <v>468</v>
      </c>
      <c r="D318" s="238"/>
      <c r="E318" s="238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</row>
    <row r="319" ht="15.75" customHeight="1">
      <c r="A319" s="238"/>
      <c r="B319" s="239"/>
      <c r="C319" s="238" t="s">
        <v>468</v>
      </c>
      <c r="D319" s="238"/>
      <c r="E319" s="238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</row>
    <row r="320" ht="15.75" customHeight="1">
      <c r="A320" s="238"/>
      <c r="B320" s="239"/>
      <c r="C320" s="238" t="s">
        <v>468</v>
      </c>
      <c r="D320" s="238"/>
      <c r="E320" s="238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</row>
    <row r="321" ht="15.75" customHeight="1">
      <c r="A321" s="238"/>
      <c r="B321" s="239"/>
      <c r="C321" s="238" t="s">
        <v>468</v>
      </c>
      <c r="D321" s="238"/>
      <c r="E321" s="238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</row>
    <row r="322" ht="15.75" customHeight="1">
      <c r="A322" s="238"/>
      <c r="B322" s="239"/>
      <c r="C322" s="238" t="s">
        <v>468</v>
      </c>
      <c r="D322" s="238"/>
      <c r="E322" s="238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</row>
    <row r="323" ht="15.75" customHeight="1">
      <c r="A323" s="238"/>
      <c r="B323" s="239"/>
      <c r="C323" s="238" t="s">
        <v>468</v>
      </c>
      <c r="D323" s="238"/>
      <c r="E323" s="238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</row>
    <row r="324" ht="15.75" customHeight="1">
      <c r="A324" s="238"/>
      <c r="B324" s="239"/>
      <c r="C324" s="238" t="s">
        <v>468</v>
      </c>
      <c r="D324" s="238"/>
      <c r="E324" s="238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</row>
    <row r="325" ht="15.75" customHeight="1">
      <c r="A325" s="238"/>
      <c r="B325" s="239"/>
      <c r="C325" s="238" t="s">
        <v>468</v>
      </c>
      <c r="D325" s="238"/>
      <c r="E325" s="238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</row>
    <row r="326" ht="15.75" customHeight="1">
      <c r="A326" s="238"/>
      <c r="B326" s="239"/>
      <c r="C326" s="238" t="s">
        <v>468</v>
      </c>
      <c r="D326" s="238"/>
      <c r="E326" s="238"/>
      <c r="F326" s="240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</row>
    <row r="327" ht="15.75" customHeight="1">
      <c r="A327" s="238"/>
      <c r="B327" s="239"/>
      <c r="C327" s="238" t="s">
        <v>468</v>
      </c>
      <c r="D327" s="238"/>
      <c r="E327" s="238"/>
      <c r="F327" s="240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</row>
    <row r="328" ht="15.75" customHeight="1">
      <c r="A328" s="238"/>
      <c r="B328" s="239"/>
      <c r="C328" s="238" t="s">
        <v>468</v>
      </c>
      <c r="D328" s="238"/>
      <c r="E328" s="238"/>
      <c r="F328" s="240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</row>
    <row r="329" ht="15.75" customHeight="1">
      <c r="A329" s="238"/>
      <c r="B329" s="239"/>
      <c r="C329" s="238" t="s">
        <v>468</v>
      </c>
      <c r="D329" s="238"/>
      <c r="E329" s="238"/>
      <c r="F329" s="240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</row>
    <row r="330" ht="15.75" customHeight="1">
      <c r="A330" s="238"/>
      <c r="B330" s="239"/>
      <c r="C330" s="238" t="s">
        <v>468</v>
      </c>
      <c r="D330" s="238"/>
      <c r="E330" s="238"/>
      <c r="F330" s="240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</row>
    <row r="331" ht="15.75" customHeight="1">
      <c r="A331" s="238"/>
      <c r="B331" s="239"/>
      <c r="C331" s="238" t="s">
        <v>468</v>
      </c>
      <c r="D331" s="238"/>
      <c r="E331" s="238"/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</row>
    <row r="332" ht="15.75" customHeight="1">
      <c r="A332" s="238"/>
      <c r="B332" s="239"/>
      <c r="C332" s="238" t="s">
        <v>468</v>
      </c>
      <c r="D332" s="238"/>
      <c r="E332" s="238"/>
      <c r="F332" s="240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</row>
    <row r="333" ht="15.75" customHeight="1">
      <c r="A333" s="238"/>
      <c r="B333" s="239"/>
      <c r="C333" s="238" t="s">
        <v>468</v>
      </c>
      <c r="D333" s="238"/>
      <c r="E333" s="238"/>
      <c r="F333" s="240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</row>
    <row r="334" ht="15.75" customHeight="1">
      <c r="A334" s="238"/>
      <c r="B334" s="239"/>
      <c r="C334" s="238" t="s">
        <v>468</v>
      </c>
      <c r="D334" s="238"/>
      <c r="E334" s="238"/>
      <c r="F334" s="240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</row>
    <row r="335" ht="15.75" customHeight="1">
      <c r="A335" s="238"/>
      <c r="B335" s="239"/>
      <c r="C335" s="238" t="s">
        <v>468</v>
      </c>
      <c r="D335" s="238"/>
      <c r="E335" s="238"/>
      <c r="F335" s="240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</row>
    <row r="336" ht="15.75" customHeight="1">
      <c r="A336" s="238"/>
      <c r="B336" s="239"/>
      <c r="C336" s="238" t="s">
        <v>468</v>
      </c>
      <c r="D336" s="238"/>
      <c r="E336" s="238"/>
      <c r="F336" s="240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</row>
    <row r="337" ht="15.75" customHeight="1">
      <c r="A337" s="238"/>
      <c r="B337" s="239"/>
      <c r="C337" s="238" t="s">
        <v>468</v>
      </c>
      <c r="D337" s="238"/>
      <c r="E337" s="238"/>
      <c r="F337" s="240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</row>
    <row r="338" ht="15.75" customHeight="1">
      <c r="A338" s="238"/>
      <c r="B338" s="239"/>
      <c r="C338" s="238" t="s">
        <v>468</v>
      </c>
      <c r="D338" s="238"/>
      <c r="E338" s="238"/>
      <c r="F338" s="240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</row>
    <row r="339" ht="15.75" customHeight="1">
      <c r="A339" s="238"/>
      <c r="B339" s="239"/>
      <c r="C339" s="238" t="s">
        <v>468</v>
      </c>
      <c r="D339" s="238"/>
      <c r="E339" s="238"/>
      <c r="F339" s="240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</row>
    <row r="340" ht="15.75" customHeight="1">
      <c r="A340" s="238"/>
      <c r="B340" s="239"/>
      <c r="C340" s="238" t="s">
        <v>468</v>
      </c>
      <c r="D340" s="238"/>
      <c r="E340" s="238"/>
      <c r="F340" s="240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</row>
    <row r="341" ht="15.75" customHeight="1">
      <c r="A341" s="238"/>
      <c r="B341" s="239"/>
      <c r="C341" s="238" t="s">
        <v>468</v>
      </c>
      <c r="D341" s="238"/>
      <c r="E341" s="238"/>
      <c r="F341" s="240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</row>
    <row r="342" ht="15.75" customHeight="1">
      <c r="A342" s="238"/>
      <c r="B342" s="239"/>
      <c r="C342" s="238" t="s">
        <v>468</v>
      </c>
      <c r="D342" s="238"/>
      <c r="E342" s="238"/>
      <c r="F342" s="240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</row>
    <row r="343" ht="15.75" customHeight="1">
      <c r="A343" s="238"/>
      <c r="B343" s="239"/>
      <c r="C343" s="238" t="s">
        <v>468</v>
      </c>
      <c r="D343" s="238"/>
      <c r="E343" s="238"/>
      <c r="F343" s="240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</row>
    <row r="344" ht="15.75" customHeight="1">
      <c r="A344" s="238"/>
      <c r="B344" s="239"/>
      <c r="C344" s="238" t="s">
        <v>468</v>
      </c>
      <c r="D344" s="238"/>
      <c r="E344" s="238"/>
      <c r="F344" s="240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</row>
    <row r="345" ht="15.75" customHeight="1">
      <c r="A345" s="238"/>
      <c r="B345" s="239"/>
      <c r="C345" s="238" t="s">
        <v>468</v>
      </c>
      <c r="D345" s="238"/>
      <c r="E345" s="238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</row>
    <row r="346" ht="15.75" customHeight="1">
      <c r="A346" s="238"/>
      <c r="B346" s="239"/>
      <c r="C346" s="238" t="s">
        <v>468</v>
      </c>
      <c r="D346" s="238"/>
      <c r="E346" s="238"/>
      <c r="F346" s="240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</row>
    <row r="347" ht="15.75" customHeight="1">
      <c r="A347" s="238"/>
      <c r="B347" s="239"/>
      <c r="C347" s="238" t="s">
        <v>468</v>
      </c>
      <c r="D347" s="238"/>
      <c r="E347" s="238"/>
      <c r="F347" s="240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</row>
    <row r="348" ht="15.75" customHeight="1">
      <c r="A348" s="238"/>
      <c r="B348" s="239"/>
      <c r="C348" s="238" t="s">
        <v>468</v>
      </c>
      <c r="D348" s="238"/>
      <c r="E348" s="238"/>
      <c r="F348" s="240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</row>
    <row r="349" ht="15.75" customHeight="1">
      <c r="A349" s="238"/>
      <c r="B349" s="239"/>
      <c r="C349" s="238" t="s">
        <v>468</v>
      </c>
      <c r="D349" s="238"/>
      <c r="E349" s="238"/>
      <c r="F349" s="240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</row>
    <row r="350" ht="15.75" customHeight="1">
      <c r="A350" s="238"/>
      <c r="B350" s="239"/>
      <c r="C350" s="238" t="s">
        <v>468</v>
      </c>
      <c r="D350" s="238"/>
      <c r="E350" s="238"/>
      <c r="F350" s="240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</row>
    <row r="351" ht="15.75" customHeight="1">
      <c r="A351" s="238"/>
      <c r="B351" s="239"/>
      <c r="C351" s="238" t="s">
        <v>468</v>
      </c>
      <c r="D351" s="238"/>
      <c r="E351" s="238"/>
      <c r="F351" s="240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</row>
    <row r="352" ht="15.75" customHeight="1">
      <c r="A352" s="238"/>
      <c r="B352" s="239"/>
      <c r="C352" s="238" t="s">
        <v>468</v>
      </c>
      <c r="D352" s="238"/>
      <c r="E352" s="238"/>
      <c r="F352" s="240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</row>
    <row r="353" ht="15.75" customHeight="1">
      <c r="A353" s="238"/>
      <c r="B353" s="239"/>
      <c r="C353" s="238" t="s">
        <v>468</v>
      </c>
      <c r="D353" s="238"/>
      <c r="E353" s="238"/>
      <c r="F353" s="240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</row>
    <row r="354" ht="15.75" customHeight="1">
      <c r="A354" s="238"/>
      <c r="B354" s="239"/>
      <c r="C354" s="238" t="s">
        <v>468</v>
      </c>
      <c r="D354" s="238"/>
      <c r="E354" s="238"/>
      <c r="F354" s="240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</row>
    <row r="355" ht="15.75" customHeight="1">
      <c r="A355" s="238"/>
      <c r="B355" s="239"/>
      <c r="C355" s="238" t="s">
        <v>468</v>
      </c>
      <c r="D355" s="238"/>
      <c r="E355" s="238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</row>
    <row r="356" ht="15.75" customHeight="1">
      <c r="A356" s="238"/>
      <c r="B356" s="239"/>
      <c r="C356" s="238" t="s">
        <v>468</v>
      </c>
      <c r="D356" s="238"/>
      <c r="E356" s="238"/>
      <c r="F356" s="240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</row>
    <row r="357" ht="15.75" customHeight="1">
      <c r="A357" s="238"/>
      <c r="B357" s="239"/>
      <c r="C357" s="238" t="s">
        <v>468</v>
      </c>
      <c r="D357" s="238"/>
      <c r="E357" s="238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</row>
    <row r="358" ht="15.75" customHeight="1">
      <c r="A358" s="238"/>
      <c r="B358" s="239"/>
      <c r="C358" s="238" t="s">
        <v>468</v>
      </c>
      <c r="D358" s="238"/>
      <c r="E358" s="238"/>
      <c r="F358" s="240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</row>
    <row r="359" ht="15.75" customHeight="1">
      <c r="A359" s="238"/>
      <c r="B359" s="239"/>
      <c r="C359" s="238" t="s">
        <v>468</v>
      </c>
      <c r="D359" s="238"/>
      <c r="E359" s="238"/>
      <c r="F359" s="240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</row>
    <row r="360" ht="15.75" customHeight="1">
      <c r="A360" s="238"/>
      <c r="B360" s="239"/>
      <c r="C360" s="238" t="s">
        <v>468</v>
      </c>
      <c r="D360" s="238"/>
      <c r="E360" s="238"/>
      <c r="F360" s="240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</row>
    <row r="361" ht="15.75" customHeight="1">
      <c r="A361" s="238"/>
      <c r="B361" s="239"/>
      <c r="C361" s="238" t="s">
        <v>468</v>
      </c>
      <c r="D361" s="238"/>
      <c r="E361" s="238"/>
      <c r="F361" s="240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</row>
    <row r="362" ht="15.75" customHeight="1">
      <c r="A362" s="238"/>
      <c r="B362" s="239"/>
      <c r="C362" s="238" t="s">
        <v>468</v>
      </c>
      <c r="D362" s="238"/>
      <c r="E362" s="238"/>
      <c r="F362" s="240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</row>
    <row r="363" ht="15.75" customHeight="1">
      <c r="A363" s="238"/>
      <c r="B363" s="239"/>
      <c r="C363" s="238" t="s">
        <v>468</v>
      </c>
      <c r="D363" s="238"/>
      <c r="E363" s="238"/>
      <c r="F363" s="240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</row>
    <row r="364" ht="15.75" customHeight="1">
      <c r="A364" s="238"/>
      <c r="B364" s="239"/>
      <c r="C364" s="238" t="s">
        <v>468</v>
      </c>
      <c r="D364" s="238"/>
      <c r="E364" s="238"/>
      <c r="F364" s="240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</row>
    <row r="365" ht="15.75" customHeight="1">
      <c r="A365" s="238"/>
      <c r="B365" s="239"/>
      <c r="C365" s="238" t="s">
        <v>468</v>
      </c>
      <c r="D365" s="238"/>
      <c r="E365" s="238"/>
      <c r="F365" s="240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</row>
    <row r="366" ht="15.75" customHeight="1">
      <c r="A366" s="238"/>
      <c r="B366" s="239"/>
      <c r="C366" s="238" t="s">
        <v>468</v>
      </c>
      <c r="D366" s="238"/>
      <c r="E366" s="238"/>
      <c r="F366" s="240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</row>
    <row r="367" ht="15.75" customHeight="1">
      <c r="A367" s="238"/>
      <c r="B367" s="239"/>
      <c r="C367" s="238" t="s">
        <v>468</v>
      </c>
      <c r="D367" s="238"/>
      <c r="E367" s="238"/>
      <c r="F367" s="240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</row>
    <row r="368" ht="15.75" customHeight="1">
      <c r="A368" s="238"/>
      <c r="B368" s="239"/>
      <c r="C368" s="238" t="s">
        <v>468</v>
      </c>
      <c r="D368" s="238"/>
      <c r="E368" s="238"/>
      <c r="F368" s="240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</row>
    <row r="369" ht="15.75" customHeight="1">
      <c r="A369" s="238"/>
      <c r="B369" s="239"/>
      <c r="C369" s="238" t="s">
        <v>468</v>
      </c>
      <c r="D369" s="238"/>
      <c r="E369" s="238"/>
      <c r="F369" s="240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</row>
    <row r="370" ht="15.75" customHeight="1">
      <c r="A370" s="238"/>
      <c r="B370" s="239"/>
      <c r="C370" s="238" t="s">
        <v>468</v>
      </c>
      <c r="D370" s="238"/>
      <c r="E370" s="238"/>
      <c r="F370" s="240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</row>
    <row r="371" ht="15.75" customHeight="1">
      <c r="A371" s="238"/>
      <c r="B371" s="239"/>
      <c r="C371" s="238" t="s">
        <v>468</v>
      </c>
      <c r="D371" s="238"/>
      <c r="E371" s="238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</row>
    <row r="372" ht="15.75" customHeight="1">
      <c r="A372" s="238"/>
      <c r="B372" s="239"/>
      <c r="C372" s="238" t="s">
        <v>468</v>
      </c>
      <c r="D372" s="238"/>
      <c r="E372" s="238"/>
      <c r="F372" s="240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</row>
    <row r="373" ht="15.75" customHeight="1">
      <c r="A373" s="238"/>
      <c r="B373" s="239"/>
      <c r="C373" s="238" t="s">
        <v>468</v>
      </c>
      <c r="D373" s="238"/>
      <c r="E373" s="238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</row>
    <row r="374" ht="15.75" customHeight="1">
      <c r="A374" s="238"/>
      <c r="B374" s="239"/>
      <c r="C374" s="238" t="s">
        <v>468</v>
      </c>
      <c r="D374" s="238"/>
      <c r="E374" s="238"/>
      <c r="F374" s="240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</row>
    <row r="375" ht="15.75" customHeight="1">
      <c r="A375" s="238"/>
      <c r="B375" s="239"/>
      <c r="C375" s="238" t="s">
        <v>468</v>
      </c>
      <c r="D375" s="238"/>
      <c r="E375" s="238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</row>
    <row r="376" ht="15.75" customHeight="1">
      <c r="A376" s="238"/>
      <c r="B376" s="239"/>
      <c r="C376" s="238" t="s">
        <v>468</v>
      </c>
      <c r="D376" s="238"/>
      <c r="E376" s="238"/>
      <c r="F376" s="240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</row>
    <row r="377" ht="15.75" customHeight="1">
      <c r="A377" s="238"/>
      <c r="B377" s="239"/>
      <c r="C377" s="238" t="s">
        <v>468</v>
      </c>
      <c r="D377" s="238"/>
      <c r="E377" s="238"/>
      <c r="F377" s="240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</row>
    <row r="378" ht="15.75" customHeight="1">
      <c r="A378" s="238"/>
      <c r="B378" s="239"/>
      <c r="C378" s="238" t="s">
        <v>468</v>
      </c>
      <c r="D378" s="238"/>
      <c r="E378" s="238"/>
      <c r="F378" s="240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</row>
    <row r="379" ht="15.75" customHeight="1">
      <c r="A379" s="238"/>
      <c r="B379" s="239"/>
      <c r="C379" s="238" t="s">
        <v>468</v>
      </c>
      <c r="D379" s="238"/>
      <c r="E379" s="238"/>
      <c r="F379" s="240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</row>
    <row r="380" ht="15.75" customHeight="1">
      <c r="A380" s="238"/>
      <c r="B380" s="239"/>
      <c r="C380" s="238" t="s">
        <v>468</v>
      </c>
      <c r="D380" s="238"/>
      <c r="E380" s="238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</row>
    <row r="381" ht="15.75" customHeight="1">
      <c r="A381" s="238"/>
      <c r="B381" s="239"/>
      <c r="C381" s="238" t="s">
        <v>468</v>
      </c>
      <c r="D381" s="238"/>
      <c r="E381" s="238"/>
      <c r="F381" s="240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</row>
    <row r="382" ht="15.75" customHeight="1">
      <c r="A382" s="238"/>
      <c r="B382" s="239"/>
      <c r="C382" s="238" t="s">
        <v>468</v>
      </c>
      <c r="D382" s="238"/>
      <c r="E382" s="238"/>
      <c r="F382" s="240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</row>
    <row r="383" ht="15.75" customHeight="1">
      <c r="A383" s="238"/>
      <c r="B383" s="239"/>
      <c r="C383" s="238" t="s">
        <v>468</v>
      </c>
      <c r="D383" s="238"/>
      <c r="E383" s="238"/>
      <c r="F383" s="240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</row>
    <row r="384" ht="15.75" customHeight="1">
      <c r="A384" s="238"/>
      <c r="B384" s="239"/>
      <c r="C384" s="238" t="s">
        <v>468</v>
      </c>
      <c r="D384" s="238"/>
      <c r="E384" s="238"/>
      <c r="F384" s="240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</row>
    <row r="385" ht="15.75" customHeight="1">
      <c r="A385" s="238"/>
      <c r="B385" s="239"/>
      <c r="C385" s="238" t="s">
        <v>468</v>
      </c>
      <c r="D385" s="238"/>
      <c r="E385" s="238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</row>
    <row r="386" ht="15.75" customHeight="1">
      <c r="A386" s="238"/>
      <c r="B386" s="239"/>
      <c r="C386" s="238" t="s">
        <v>468</v>
      </c>
      <c r="D386" s="238"/>
      <c r="E386" s="238"/>
      <c r="F386" s="240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</row>
    <row r="387" ht="15.75" customHeight="1">
      <c r="A387" s="238"/>
      <c r="B387" s="239"/>
      <c r="C387" s="238" t="s">
        <v>468</v>
      </c>
      <c r="D387" s="238"/>
      <c r="E387" s="238"/>
      <c r="F387" s="240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</row>
    <row r="388" ht="15.75" customHeight="1">
      <c r="A388" s="238"/>
      <c r="B388" s="239"/>
      <c r="C388" s="238" t="s">
        <v>468</v>
      </c>
      <c r="D388" s="238"/>
      <c r="E388" s="238"/>
      <c r="F388" s="240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</row>
    <row r="389" ht="15.75" customHeight="1">
      <c r="A389" s="238"/>
      <c r="B389" s="239"/>
      <c r="C389" s="238" t="s">
        <v>468</v>
      </c>
      <c r="D389" s="238"/>
      <c r="E389" s="238"/>
      <c r="F389" s="240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</row>
    <row r="390" ht="15.75" customHeight="1">
      <c r="A390" s="238"/>
      <c r="B390" s="239"/>
      <c r="C390" s="238" t="s">
        <v>468</v>
      </c>
      <c r="D390" s="238"/>
      <c r="E390" s="238"/>
      <c r="F390" s="240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</row>
    <row r="391" ht="15.75" customHeight="1">
      <c r="A391" s="238"/>
      <c r="B391" s="239"/>
      <c r="C391" s="238" t="s">
        <v>468</v>
      </c>
      <c r="D391" s="238"/>
      <c r="E391" s="238"/>
      <c r="F391" s="240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</row>
    <row r="392" ht="15.75" customHeight="1">
      <c r="A392" s="238"/>
      <c r="B392" s="239"/>
      <c r="C392" s="238" t="s">
        <v>468</v>
      </c>
      <c r="D392" s="238"/>
      <c r="E392" s="238"/>
      <c r="F392" s="240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</row>
    <row r="393" ht="15.75" customHeight="1">
      <c r="A393" s="238"/>
      <c r="B393" s="239"/>
      <c r="C393" s="238" t="s">
        <v>468</v>
      </c>
      <c r="D393" s="238"/>
      <c r="E393" s="238"/>
      <c r="F393" s="240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</row>
    <row r="394" ht="15.75" customHeight="1">
      <c r="A394" s="238"/>
      <c r="B394" s="239"/>
      <c r="C394" s="238" t="s">
        <v>468</v>
      </c>
      <c r="D394" s="238"/>
      <c r="E394" s="238"/>
      <c r="F394" s="240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</row>
    <row r="395" ht="15.75" customHeight="1">
      <c r="A395" s="238"/>
      <c r="B395" s="239"/>
      <c r="C395" s="238" t="s">
        <v>468</v>
      </c>
      <c r="D395" s="238"/>
      <c r="E395" s="238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</row>
    <row r="396" ht="15.75" customHeight="1">
      <c r="A396" s="238"/>
      <c r="B396" s="239"/>
      <c r="C396" s="238" t="s">
        <v>468</v>
      </c>
      <c r="D396" s="238"/>
      <c r="E396" s="238"/>
      <c r="F396" s="240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</row>
    <row r="397" ht="15.75" customHeight="1">
      <c r="A397" s="238"/>
      <c r="B397" s="239"/>
      <c r="C397" s="238" t="s">
        <v>468</v>
      </c>
      <c r="D397" s="238"/>
      <c r="E397" s="238"/>
      <c r="F397" s="240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</row>
    <row r="398" ht="15.75" customHeight="1">
      <c r="A398" s="238"/>
      <c r="B398" s="239"/>
      <c r="C398" s="238" t="s">
        <v>468</v>
      </c>
      <c r="D398" s="238"/>
      <c r="E398" s="238"/>
      <c r="F398" s="240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</row>
    <row r="399" ht="15.75" customHeight="1">
      <c r="A399" s="238"/>
      <c r="B399" s="239"/>
      <c r="C399" s="238" t="s">
        <v>468</v>
      </c>
      <c r="D399" s="238"/>
      <c r="E399" s="238"/>
      <c r="F399" s="240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</row>
    <row r="400" ht="15.75" customHeight="1">
      <c r="A400" s="238"/>
      <c r="B400" s="239"/>
      <c r="C400" s="238" t="s">
        <v>468</v>
      </c>
      <c r="D400" s="238"/>
      <c r="E400" s="238"/>
      <c r="F400" s="240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</row>
    <row r="401" ht="15.75" customHeight="1">
      <c r="A401" s="238"/>
      <c r="B401" s="239"/>
      <c r="C401" s="238" t="s">
        <v>468</v>
      </c>
      <c r="D401" s="238"/>
      <c r="E401" s="238"/>
      <c r="F401" s="240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</row>
    <row r="402" ht="15.75" customHeight="1">
      <c r="A402" s="238"/>
      <c r="B402" s="239"/>
      <c r="C402" s="238" t="s">
        <v>468</v>
      </c>
      <c r="D402" s="238"/>
      <c r="E402" s="238"/>
      <c r="F402" s="240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</row>
    <row r="403" ht="15.75" customHeight="1">
      <c r="A403" s="238"/>
      <c r="B403" s="239"/>
      <c r="C403" s="238" t="s">
        <v>468</v>
      </c>
      <c r="D403" s="238"/>
      <c r="E403" s="238"/>
      <c r="F403" s="240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</row>
    <row r="404" ht="15.75" customHeight="1">
      <c r="A404" s="238"/>
      <c r="B404" s="239"/>
      <c r="C404" s="238" t="s">
        <v>468</v>
      </c>
      <c r="D404" s="238"/>
      <c r="E404" s="238"/>
      <c r="F404" s="240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</row>
    <row r="405" ht="15.75" customHeight="1">
      <c r="A405" s="238"/>
      <c r="B405" s="239"/>
      <c r="C405" s="238" t="s">
        <v>468</v>
      </c>
      <c r="D405" s="238"/>
      <c r="E405" s="238"/>
      <c r="F405" s="240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</row>
    <row r="406" ht="15.75" customHeight="1">
      <c r="A406" s="238"/>
      <c r="B406" s="239"/>
      <c r="C406" s="238" t="s">
        <v>468</v>
      </c>
      <c r="D406" s="238"/>
      <c r="E406" s="238"/>
      <c r="F406" s="240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</row>
    <row r="407" ht="15.75" customHeight="1">
      <c r="A407" s="238"/>
      <c r="B407" s="239"/>
      <c r="C407" s="238" t="s">
        <v>468</v>
      </c>
      <c r="D407" s="238"/>
      <c r="E407" s="238"/>
      <c r="F407" s="240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</row>
    <row r="408" ht="15.75" customHeight="1">
      <c r="A408" s="238"/>
      <c r="B408" s="239"/>
      <c r="C408" s="238" t="s">
        <v>468</v>
      </c>
      <c r="D408" s="238"/>
      <c r="E408" s="238"/>
      <c r="F408" s="240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</row>
    <row r="409" ht="15.75" customHeight="1">
      <c r="A409" s="238"/>
      <c r="B409" s="239"/>
      <c r="C409" s="238" t="s">
        <v>468</v>
      </c>
      <c r="D409" s="238"/>
      <c r="E409" s="238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</row>
    <row r="410" ht="15.75" customHeight="1">
      <c r="A410" s="238"/>
      <c r="B410" s="239"/>
      <c r="C410" s="238" t="s">
        <v>468</v>
      </c>
      <c r="D410" s="238"/>
      <c r="E410" s="238"/>
      <c r="F410" s="240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</row>
    <row r="411" ht="15.75" customHeight="1">
      <c r="A411" s="238"/>
      <c r="B411" s="239"/>
      <c r="C411" s="238" t="s">
        <v>468</v>
      </c>
      <c r="D411" s="238"/>
      <c r="E411" s="238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</row>
    <row r="412" ht="15.75" customHeight="1">
      <c r="A412" s="238"/>
      <c r="B412" s="239"/>
      <c r="C412" s="238" t="s">
        <v>468</v>
      </c>
      <c r="D412" s="238"/>
      <c r="E412" s="238"/>
      <c r="F412" s="240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</row>
    <row r="413" ht="15.75" customHeight="1">
      <c r="A413" s="238"/>
      <c r="B413" s="239"/>
      <c r="C413" s="238" t="s">
        <v>468</v>
      </c>
      <c r="D413" s="238"/>
      <c r="E413" s="238"/>
      <c r="F413" s="240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</row>
    <row r="414" ht="15.75" customHeight="1">
      <c r="A414" s="238"/>
      <c r="B414" s="239"/>
      <c r="C414" s="238" t="s">
        <v>468</v>
      </c>
      <c r="D414" s="238"/>
      <c r="E414" s="238"/>
      <c r="F414" s="240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</row>
    <row r="415" ht="15.75" customHeight="1">
      <c r="A415" s="238"/>
      <c r="B415" s="239"/>
      <c r="C415" s="238" t="s">
        <v>468</v>
      </c>
      <c r="D415" s="238"/>
      <c r="E415" s="238"/>
      <c r="F415" s="240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</row>
    <row r="416" ht="15.75" customHeight="1">
      <c r="A416" s="238"/>
      <c r="B416" s="239"/>
      <c r="C416" s="238" t="s">
        <v>468</v>
      </c>
      <c r="D416" s="238"/>
      <c r="E416" s="238"/>
      <c r="F416" s="240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</row>
    <row r="417" ht="15.75" customHeight="1">
      <c r="A417" s="238"/>
      <c r="B417" s="239"/>
      <c r="C417" s="238" t="s">
        <v>468</v>
      </c>
      <c r="D417" s="238"/>
      <c r="E417" s="238"/>
      <c r="F417" s="240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</row>
    <row r="418" ht="15.75" customHeight="1">
      <c r="A418" s="238"/>
      <c r="B418" s="239"/>
      <c r="C418" s="238" t="s">
        <v>468</v>
      </c>
      <c r="D418" s="238"/>
      <c r="E418" s="238"/>
      <c r="F418" s="240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</row>
    <row r="419" ht="15.75" customHeight="1">
      <c r="A419" s="238"/>
      <c r="B419" s="239"/>
      <c r="C419" s="238" t="s">
        <v>468</v>
      </c>
      <c r="D419" s="238"/>
      <c r="E419" s="238"/>
      <c r="F419" s="240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</row>
    <row r="420" ht="15.75" customHeight="1">
      <c r="A420" s="238"/>
      <c r="B420" s="239"/>
      <c r="C420" s="238" t="s">
        <v>468</v>
      </c>
      <c r="D420" s="238"/>
      <c r="E420" s="238"/>
      <c r="F420" s="240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</row>
    <row r="421" ht="15.75" customHeight="1">
      <c r="A421" s="238"/>
      <c r="B421" s="239"/>
      <c r="C421" s="238" t="s">
        <v>468</v>
      </c>
      <c r="D421" s="238"/>
      <c r="E421" s="238"/>
      <c r="F421" s="240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</row>
    <row r="422" ht="15.75" customHeight="1">
      <c r="A422" s="238"/>
      <c r="B422" s="239"/>
      <c r="C422" s="238" t="s">
        <v>468</v>
      </c>
      <c r="D422" s="238"/>
      <c r="E422" s="238"/>
      <c r="F422" s="240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</row>
    <row r="423" ht="15.75" customHeight="1">
      <c r="A423" s="238"/>
      <c r="B423" s="239"/>
      <c r="C423" s="238" t="s">
        <v>468</v>
      </c>
      <c r="D423" s="238"/>
      <c r="E423" s="238"/>
      <c r="F423" s="240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</row>
    <row r="424" ht="15.75" customHeight="1">
      <c r="A424" s="238"/>
      <c r="B424" s="239"/>
      <c r="C424" s="238" t="s">
        <v>468</v>
      </c>
      <c r="D424" s="238"/>
      <c r="E424" s="238"/>
      <c r="F424" s="240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</row>
    <row r="425" ht="15.75" customHeight="1">
      <c r="A425" s="238"/>
      <c r="B425" s="239"/>
      <c r="C425" s="238" t="s">
        <v>468</v>
      </c>
      <c r="D425" s="238"/>
      <c r="E425" s="238"/>
      <c r="F425" s="240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</row>
    <row r="426" ht="15.75" customHeight="1">
      <c r="A426" s="238"/>
      <c r="B426" s="239"/>
      <c r="C426" s="238" t="s">
        <v>468</v>
      </c>
      <c r="D426" s="238"/>
      <c r="E426" s="238"/>
      <c r="F426" s="240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</row>
    <row r="427" ht="15.75" customHeight="1">
      <c r="A427" s="238"/>
      <c r="B427" s="239"/>
      <c r="C427" s="238" t="s">
        <v>468</v>
      </c>
      <c r="D427" s="238"/>
      <c r="E427" s="238"/>
      <c r="F427" s="240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</row>
    <row r="428" ht="15.75" customHeight="1">
      <c r="A428" s="238"/>
      <c r="B428" s="239"/>
      <c r="C428" s="238" t="s">
        <v>468</v>
      </c>
      <c r="D428" s="238"/>
      <c r="E428" s="238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</row>
    <row r="429" ht="15.75" customHeight="1">
      <c r="A429" s="238"/>
      <c r="B429" s="239"/>
      <c r="C429" s="238" t="s">
        <v>468</v>
      </c>
      <c r="D429" s="238"/>
      <c r="E429" s="238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</row>
    <row r="430" ht="15.75" customHeight="1">
      <c r="A430" s="238"/>
      <c r="B430" s="239"/>
      <c r="C430" s="238" t="s">
        <v>468</v>
      </c>
      <c r="D430" s="238"/>
      <c r="E430" s="238"/>
      <c r="F430" s="240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</row>
    <row r="431" ht="15.75" customHeight="1">
      <c r="A431" s="238"/>
      <c r="B431" s="239"/>
      <c r="C431" s="238" t="s">
        <v>468</v>
      </c>
      <c r="D431" s="238"/>
      <c r="E431" s="238"/>
      <c r="F431" s="240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</row>
    <row r="432" ht="15.75" customHeight="1">
      <c r="A432" s="238"/>
      <c r="B432" s="239"/>
      <c r="C432" s="238" t="s">
        <v>468</v>
      </c>
      <c r="D432" s="238"/>
      <c r="E432" s="238"/>
      <c r="F432" s="240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</row>
    <row r="433" ht="15.75" customHeight="1">
      <c r="A433" s="238"/>
      <c r="B433" s="239"/>
      <c r="C433" s="238" t="s">
        <v>468</v>
      </c>
      <c r="D433" s="238"/>
      <c r="E433" s="238"/>
      <c r="F433" s="240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</row>
    <row r="434" ht="15.75" customHeight="1">
      <c r="A434" s="238"/>
      <c r="B434" s="239"/>
      <c r="C434" s="238" t="s">
        <v>468</v>
      </c>
      <c r="D434" s="238"/>
      <c r="E434" s="238"/>
      <c r="F434" s="240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</row>
    <row r="435" ht="15.75" customHeight="1">
      <c r="A435" s="238"/>
      <c r="B435" s="239"/>
      <c r="C435" s="238" t="s">
        <v>468</v>
      </c>
      <c r="D435" s="238"/>
      <c r="E435" s="238"/>
      <c r="F435" s="240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</row>
    <row r="436" ht="15.75" customHeight="1">
      <c r="A436" s="238"/>
      <c r="B436" s="239"/>
      <c r="C436" s="238" t="s">
        <v>468</v>
      </c>
      <c r="D436" s="238"/>
      <c r="E436" s="238"/>
      <c r="F436" s="240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</row>
    <row r="437" ht="15.75" customHeight="1">
      <c r="A437" s="238"/>
      <c r="B437" s="239"/>
      <c r="C437" s="238" t="s">
        <v>468</v>
      </c>
      <c r="D437" s="238"/>
      <c r="E437" s="238"/>
      <c r="F437" s="240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</row>
    <row r="438" ht="15.75" customHeight="1">
      <c r="A438" s="238"/>
      <c r="B438" s="239"/>
      <c r="C438" s="238" t="s">
        <v>468</v>
      </c>
      <c r="D438" s="238"/>
      <c r="E438" s="238"/>
      <c r="F438" s="240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</row>
    <row r="439" ht="15.75" customHeight="1">
      <c r="A439" s="238"/>
      <c r="B439" s="239"/>
      <c r="C439" s="238" t="s">
        <v>468</v>
      </c>
      <c r="D439" s="238"/>
      <c r="E439" s="238"/>
      <c r="F439" s="240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</row>
    <row r="440" ht="15.75" customHeight="1">
      <c r="A440" s="238"/>
      <c r="B440" s="239"/>
      <c r="C440" s="238" t="s">
        <v>468</v>
      </c>
      <c r="D440" s="238"/>
      <c r="E440" s="238"/>
      <c r="F440" s="240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</row>
    <row r="441" ht="15.75" customHeight="1">
      <c r="A441" s="238"/>
      <c r="B441" s="239"/>
      <c r="C441" s="238" t="s">
        <v>468</v>
      </c>
      <c r="D441" s="238"/>
      <c r="E441" s="238"/>
      <c r="F441" s="240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</row>
    <row r="442" ht="15.75" customHeight="1">
      <c r="A442" s="238"/>
      <c r="B442" s="239"/>
      <c r="C442" s="238" t="s">
        <v>468</v>
      </c>
      <c r="D442" s="238"/>
      <c r="E442" s="238"/>
      <c r="F442" s="240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</row>
    <row r="443" ht="15.75" customHeight="1">
      <c r="A443" s="238"/>
      <c r="B443" s="239"/>
      <c r="C443" s="238" t="s">
        <v>468</v>
      </c>
      <c r="D443" s="238"/>
      <c r="E443" s="238"/>
      <c r="F443" s="240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</row>
    <row r="444" ht="15.75" customHeight="1">
      <c r="A444" s="238"/>
      <c r="B444" s="239"/>
      <c r="C444" s="238" t="s">
        <v>468</v>
      </c>
      <c r="D444" s="238"/>
      <c r="E444" s="238"/>
      <c r="F444" s="240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</row>
    <row r="445" ht="15.75" customHeight="1">
      <c r="A445" s="238"/>
      <c r="B445" s="239"/>
      <c r="C445" s="238" t="s">
        <v>468</v>
      </c>
      <c r="D445" s="238"/>
      <c r="E445" s="238"/>
      <c r="F445" s="240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</row>
    <row r="446" ht="15.75" customHeight="1">
      <c r="A446" s="238"/>
      <c r="B446" s="239"/>
      <c r="C446" s="238" t="s">
        <v>468</v>
      </c>
      <c r="D446" s="238"/>
      <c r="E446" s="238"/>
      <c r="F446" s="240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</row>
    <row r="447" ht="15.75" customHeight="1">
      <c r="A447" s="238"/>
      <c r="B447" s="239"/>
      <c r="C447" s="238" t="s">
        <v>468</v>
      </c>
      <c r="D447" s="238"/>
      <c r="E447" s="238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</row>
    <row r="448" ht="15.75" customHeight="1">
      <c r="A448" s="238"/>
      <c r="B448" s="239"/>
      <c r="C448" s="238" t="s">
        <v>468</v>
      </c>
      <c r="D448" s="238"/>
      <c r="E448" s="238"/>
      <c r="F448" s="240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</row>
    <row r="449" ht="15.75" customHeight="1">
      <c r="A449" s="238"/>
      <c r="B449" s="239"/>
      <c r="C449" s="238" t="s">
        <v>468</v>
      </c>
      <c r="D449" s="238"/>
      <c r="E449" s="238"/>
      <c r="F449" s="240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</row>
    <row r="450" ht="15.75" customHeight="1">
      <c r="A450" s="238"/>
      <c r="B450" s="239"/>
      <c r="C450" s="238" t="s">
        <v>468</v>
      </c>
      <c r="D450" s="238"/>
      <c r="E450" s="238"/>
      <c r="F450" s="240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</row>
    <row r="451" ht="15.75" customHeight="1">
      <c r="A451" s="238"/>
      <c r="B451" s="239"/>
      <c r="C451" s="238" t="s">
        <v>468</v>
      </c>
      <c r="D451" s="238"/>
      <c r="E451" s="238"/>
      <c r="F451" s="240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</row>
    <row r="452" ht="15.75" customHeight="1">
      <c r="A452" s="238"/>
      <c r="B452" s="239"/>
      <c r="C452" s="238" t="s">
        <v>468</v>
      </c>
      <c r="D452" s="238"/>
      <c r="E452" s="238"/>
      <c r="F452" s="240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</row>
    <row r="453" ht="15.75" customHeight="1">
      <c r="A453" s="238"/>
      <c r="B453" s="239"/>
      <c r="C453" s="238" t="s">
        <v>468</v>
      </c>
      <c r="D453" s="238"/>
      <c r="E453" s="238"/>
      <c r="F453" s="240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</row>
    <row r="454" ht="15.75" customHeight="1">
      <c r="A454" s="238"/>
      <c r="B454" s="239"/>
      <c r="C454" s="238" t="s">
        <v>468</v>
      </c>
      <c r="D454" s="238"/>
      <c r="E454" s="238"/>
      <c r="F454" s="240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</row>
    <row r="455" ht="15.75" customHeight="1">
      <c r="A455" s="238"/>
      <c r="B455" s="239"/>
      <c r="C455" s="238" t="s">
        <v>468</v>
      </c>
      <c r="D455" s="238"/>
      <c r="E455" s="238"/>
      <c r="F455" s="240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</row>
    <row r="456" ht="15.75" customHeight="1">
      <c r="A456" s="238"/>
      <c r="B456" s="239"/>
      <c r="C456" s="238" t="s">
        <v>468</v>
      </c>
      <c r="D456" s="238"/>
      <c r="E456" s="238"/>
      <c r="F456" s="240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</row>
    <row r="457" ht="15.75" customHeight="1">
      <c r="A457" s="238"/>
      <c r="B457" s="239"/>
      <c r="C457" s="238" t="s">
        <v>468</v>
      </c>
      <c r="D457" s="238"/>
      <c r="E457" s="238"/>
      <c r="F457" s="240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</row>
    <row r="458" ht="15.75" customHeight="1">
      <c r="A458" s="238"/>
      <c r="B458" s="239"/>
      <c r="C458" s="238" t="s">
        <v>468</v>
      </c>
      <c r="D458" s="238"/>
      <c r="E458" s="238"/>
      <c r="F458" s="240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</row>
    <row r="459" ht="15.75" customHeight="1">
      <c r="A459" s="238"/>
      <c r="B459" s="239"/>
      <c r="C459" s="238" t="s">
        <v>468</v>
      </c>
      <c r="D459" s="238"/>
      <c r="E459" s="238"/>
      <c r="F459" s="240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</row>
    <row r="460" ht="15.75" customHeight="1">
      <c r="A460" s="238"/>
      <c r="B460" s="239"/>
      <c r="C460" s="238" t="s">
        <v>468</v>
      </c>
      <c r="D460" s="238"/>
      <c r="E460" s="238"/>
      <c r="F460" s="240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</row>
    <row r="461" ht="15.75" customHeight="1">
      <c r="A461" s="238"/>
      <c r="B461" s="239"/>
      <c r="C461" s="238" t="s">
        <v>468</v>
      </c>
      <c r="D461" s="238"/>
      <c r="E461" s="238"/>
      <c r="F461" s="240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</row>
    <row r="462" ht="15.75" customHeight="1">
      <c r="A462" s="238"/>
      <c r="B462" s="239"/>
      <c r="C462" s="238" t="s">
        <v>468</v>
      </c>
      <c r="D462" s="238"/>
      <c r="E462" s="238"/>
      <c r="F462" s="240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</row>
    <row r="463" ht="15.75" customHeight="1">
      <c r="A463" s="238"/>
      <c r="B463" s="239"/>
      <c r="C463" s="238" t="s">
        <v>468</v>
      </c>
      <c r="D463" s="238"/>
      <c r="E463" s="238"/>
      <c r="F463" s="240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</row>
    <row r="464" ht="15.75" customHeight="1">
      <c r="A464" s="238"/>
      <c r="B464" s="239"/>
      <c r="C464" s="238" t="s">
        <v>468</v>
      </c>
      <c r="D464" s="238"/>
      <c r="E464" s="238"/>
      <c r="F464" s="240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</row>
    <row r="465" ht="15.75" customHeight="1">
      <c r="A465" s="238"/>
      <c r="B465" s="239"/>
      <c r="C465" s="238" t="s">
        <v>468</v>
      </c>
      <c r="D465" s="238"/>
      <c r="E465" s="238"/>
      <c r="F465" s="240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</row>
    <row r="466" ht="15.75" customHeight="1">
      <c r="A466" s="238"/>
      <c r="B466" s="239"/>
      <c r="C466" s="238" t="s">
        <v>468</v>
      </c>
      <c r="D466" s="238"/>
      <c r="E466" s="238"/>
      <c r="F466" s="240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</row>
    <row r="467" ht="15.75" customHeight="1">
      <c r="A467" s="238"/>
      <c r="B467" s="239"/>
      <c r="C467" s="238" t="s">
        <v>468</v>
      </c>
      <c r="D467" s="238"/>
      <c r="E467" s="238"/>
      <c r="F467" s="240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</row>
    <row r="468" ht="15.75" customHeight="1">
      <c r="A468" s="238"/>
      <c r="B468" s="239"/>
      <c r="C468" s="238" t="s">
        <v>468</v>
      </c>
      <c r="D468" s="238"/>
      <c r="E468" s="238"/>
      <c r="F468" s="240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</row>
    <row r="469" ht="15.75" customHeight="1">
      <c r="A469" s="238"/>
      <c r="B469" s="239"/>
      <c r="C469" s="238" t="s">
        <v>468</v>
      </c>
      <c r="D469" s="238"/>
      <c r="E469" s="238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</row>
    <row r="470" ht="15.75" customHeight="1">
      <c r="A470" s="238"/>
      <c r="B470" s="239"/>
      <c r="C470" s="238" t="s">
        <v>468</v>
      </c>
      <c r="D470" s="238"/>
      <c r="E470" s="238"/>
      <c r="F470" s="240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</row>
    <row r="471" ht="15.75" customHeight="1">
      <c r="A471" s="238"/>
      <c r="B471" s="239"/>
      <c r="C471" s="238" t="s">
        <v>468</v>
      </c>
      <c r="D471" s="238"/>
      <c r="E471" s="238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</row>
    <row r="472" ht="15.75" customHeight="1">
      <c r="A472" s="238"/>
      <c r="B472" s="239"/>
      <c r="C472" s="238" t="s">
        <v>468</v>
      </c>
      <c r="D472" s="238"/>
      <c r="E472" s="238"/>
      <c r="F472" s="240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</row>
    <row r="473" ht="15.75" customHeight="1">
      <c r="A473" s="238"/>
      <c r="B473" s="239"/>
      <c r="C473" s="238" t="s">
        <v>468</v>
      </c>
      <c r="D473" s="238"/>
      <c r="E473" s="238"/>
      <c r="F473" s="240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</row>
    <row r="474" ht="15.75" customHeight="1">
      <c r="A474" s="238"/>
      <c r="B474" s="239"/>
      <c r="C474" s="238" t="s">
        <v>468</v>
      </c>
      <c r="D474" s="238"/>
      <c r="E474" s="238"/>
      <c r="F474" s="240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</row>
    <row r="475" ht="15.75" customHeight="1">
      <c r="A475" s="238"/>
      <c r="B475" s="239"/>
      <c r="C475" s="238" t="s">
        <v>468</v>
      </c>
      <c r="D475" s="238"/>
      <c r="E475" s="238"/>
      <c r="F475" s="240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</row>
    <row r="476" ht="15.75" customHeight="1">
      <c r="A476" s="238"/>
      <c r="B476" s="239"/>
      <c r="C476" s="238" t="s">
        <v>468</v>
      </c>
      <c r="D476" s="238"/>
      <c r="E476" s="238"/>
      <c r="F476" s="240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</row>
    <row r="477" ht="15.75" customHeight="1">
      <c r="A477" s="238"/>
      <c r="B477" s="239"/>
      <c r="C477" s="238" t="s">
        <v>468</v>
      </c>
      <c r="D477" s="238"/>
      <c r="E477" s="238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</row>
    <row r="478" ht="15.75" customHeight="1">
      <c r="A478" s="238"/>
      <c r="B478" s="239"/>
      <c r="C478" s="238" t="s">
        <v>468</v>
      </c>
      <c r="D478" s="238"/>
      <c r="E478" s="238"/>
      <c r="F478" s="240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</row>
    <row r="479" ht="15.75" customHeight="1">
      <c r="A479" s="238"/>
      <c r="B479" s="239"/>
      <c r="C479" s="238" t="s">
        <v>468</v>
      </c>
      <c r="D479" s="238"/>
      <c r="E479" s="238"/>
      <c r="F479" s="240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</row>
    <row r="480" ht="15.75" customHeight="1">
      <c r="A480" s="238"/>
      <c r="B480" s="239"/>
      <c r="C480" s="238" t="s">
        <v>468</v>
      </c>
      <c r="D480" s="238"/>
      <c r="E480" s="238"/>
      <c r="F480" s="240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</row>
    <row r="481" ht="15.75" customHeight="1">
      <c r="A481" s="238"/>
      <c r="B481" s="239"/>
      <c r="C481" s="238" t="s">
        <v>468</v>
      </c>
      <c r="D481" s="238"/>
      <c r="E481" s="238"/>
      <c r="F481" s="240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</row>
    <row r="482" ht="15.75" customHeight="1">
      <c r="A482" s="238"/>
      <c r="B482" s="239"/>
      <c r="C482" s="238" t="s">
        <v>468</v>
      </c>
      <c r="D482" s="238"/>
      <c r="E482" s="238"/>
      <c r="F482" s="240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</row>
    <row r="483" ht="15.75" customHeight="1">
      <c r="A483" s="238"/>
      <c r="B483" s="239"/>
      <c r="C483" s="238" t="s">
        <v>468</v>
      </c>
      <c r="D483" s="238"/>
      <c r="E483" s="238"/>
      <c r="F483" s="240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</row>
    <row r="484" ht="15.75" customHeight="1">
      <c r="A484" s="238"/>
      <c r="B484" s="239"/>
      <c r="C484" s="238" t="s">
        <v>468</v>
      </c>
      <c r="D484" s="238"/>
      <c r="E484" s="238"/>
      <c r="F484" s="240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</row>
    <row r="485" ht="15.75" customHeight="1">
      <c r="A485" s="238"/>
      <c r="B485" s="239"/>
      <c r="C485" s="238" t="s">
        <v>468</v>
      </c>
      <c r="D485" s="238"/>
      <c r="E485" s="238"/>
      <c r="F485" s="240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</row>
    <row r="486" ht="15.75" customHeight="1">
      <c r="A486" s="238"/>
      <c r="B486" s="239"/>
      <c r="C486" s="238" t="s">
        <v>468</v>
      </c>
      <c r="D486" s="238"/>
      <c r="E486" s="238"/>
      <c r="F486" s="240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</row>
    <row r="487" ht="15.75" customHeight="1">
      <c r="A487" s="238"/>
      <c r="B487" s="239"/>
      <c r="C487" s="238" t="s">
        <v>468</v>
      </c>
      <c r="D487" s="238"/>
      <c r="E487" s="238"/>
      <c r="F487" s="240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</row>
    <row r="488" ht="15.75" customHeight="1">
      <c r="A488" s="238"/>
      <c r="B488" s="239"/>
      <c r="C488" s="238" t="s">
        <v>468</v>
      </c>
      <c r="D488" s="238"/>
      <c r="E488" s="238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</row>
    <row r="489" ht="15.75" customHeight="1">
      <c r="A489" s="238"/>
      <c r="B489" s="239"/>
      <c r="C489" s="238" t="s">
        <v>468</v>
      </c>
      <c r="D489" s="238"/>
      <c r="E489" s="238"/>
      <c r="F489" s="240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</row>
    <row r="490" ht="15.75" customHeight="1">
      <c r="A490" s="238"/>
      <c r="B490" s="239"/>
      <c r="C490" s="238" t="s">
        <v>468</v>
      </c>
      <c r="D490" s="238"/>
      <c r="E490" s="238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</row>
    <row r="491" ht="15.75" customHeight="1">
      <c r="A491" s="238"/>
      <c r="B491" s="239"/>
      <c r="C491" s="238" t="s">
        <v>468</v>
      </c>
      <c r="D491" s="238"/>
      <c r="E491" s="238"/>
      <c r="F491" s="240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</row>
    <row r="492" ht="15.75" customHeight="1">
      <c r="A492" s="238"/>
      <c r="B492" s="239"/>
      <c r="C492" s="238" t="s">
        <v>468</v>
      </c>
      <c r="D492" s="238"/>
      <c r="E492" s="238"/>
      <c r="F492" s="240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</row>
    <row r="493" ht="15.75" customHeight="1">
      <c r="A493" s="238"/>
      <c r="B493" s="239"/>
      <c r="C493" s="238" t="s">
        <v>468</v>
      </c>
      <c r="D493" s="238"/>
      <c r="E493" s="238"/>
      <c r="F493" s="240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</row>
    <row r="494" ht="15.75" customHeight="1">
      <c r="A494" s="238"/>
      <c r="B494" s="239"/>
      <c r="C494" s="238" t="s">
        <v>468</v>
      </c>
      <c r="D494" s="238"/>
      <c r="E494" s="238"/>
      <c r="F494" s="240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</row>
    <row r="495" ht="15.75" customHeight="1">
      <c r="A495" s="238"/>
      <c r="B495" s="239"/>
      <c r="C495" s="238" t="s">
        <v>468</v>
      </c>
      <c r="D495" s="238"/>
      <c r="E495" s="238"/>
      <c r="F495" s="240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</row>
    <row r="496" ht="15.75" customHeight="1">
      <c r="A496" s="238"/>
      <c r="B496" s="239"/>
      <c r="C496" s="238" t="s">
        <v>468</v>
      </c>
      <c r="D496" s="238"/>
      <c r="E496" s="238"/>
      <c r="F496" s="240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</row>
    <row r="497" ht="15.75" customHeight="1">
      <c r="A497" s="238"/>
      <c r="B497" s="239"/>
      <c r="C497" s="238" t="s">
        <v>468</v>
      </c>
      <c r="D497" s="238"/>
      <c r="E497" s="238"/>
      <c r="F497" s="240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</row>
    <row r="498" ht="15.75" customHeight="1">
      <c r="A498" s="238"/>
      <c r="B498" s="239"/>
      <c r="C498" s="238" t="s">
        <v>468</v>
      </c>
      <c r="D498" s="238"/>
      <c r="E498" s="238"/>
      <c r="F498" s="240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</row>
    <row r="499" ht="15.75" customHeight="1">
      <c r="A499" s="238"/>
      <c r="B499" s="239"/>
      <c r="C499" s="238" t="s">
        <v>468</v>
      </c>
      <c r="D499" s="238"/>
      <c r="E499" s="238"/>
      <c r="F499" s="240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</row>
    <row r="500" ht="15.75" customHeight="1">
      <c r="A500" s="238"/>
      <c r="B500" s="239"/>
      <c r="C500" s="238" t="s">
        <v>468</v>
      </c>
      <c r="D500" s="238"/>
      <c r="E500" s="238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</row>
    <row r="501" ht="15.75" customHeight="1">
      <c r="A501" s="238"/>
      <c r="B501" s="239"/>
      <c r="C501" s="238" t="s">
        <v>468</v>
      </c>
      <c r="D501" s="238"/>
      <c r="E501" s="238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</row>
    <row r="502" ht="15.75" customHeight="1">
      <c r="A502" s="238"/>
      <c r="B502" s="239"/>
      <c r="C502" s="238" t="s">
        <v>468</v>
      </c>
      <c r="D502" s="238"/>
      <c r="E502" s="238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</row>
    <row r="503" ht="15.75" customHeight="1">
      <c r="A503" s="238"/>
      <c r="B503" s="239"/>
      <c r="C503" s="238" t="s">
        <v>468</v>
      </c>
      <c r="D503" s="238"/>
      <c r="E503" s="238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</row>
    <row r="504" ht="15.75" customHeight="1">
      <c r="A504" s="238"/>
      <c r="B504" s="239"/>
      <c r="C504" s="238" t="s">
        <v>468</v>
      </c>
      <c r="D504" s="238"/>
      <c r="E504" s="238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</row>
    <row r="505" ht="15.75" customHeight="1">
      <c r="A505" s="238"/>
      <c r="B505" s="239"/>
      <c r="C505" s="238" t="s">
        <v>468</v>
      </c>
      <c r="D505" s="238"/>
      <c r="E505" s="238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</row>
    <row r="506" ht="15.75" customHeight="1">
      <c r="A506" s="238"/>
      <c r="B506" s="239"/>
      <c r="C506" s="238" t="s">
        <v>468</v>
      </c>
      <c r="D506" s="238"/>
      <c r="E506" s="238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</row>
    <row r="507" ht="15.75" customHeight="1">
      <c r="A507" s="238"/>
      <c r="B507" s="239"/>
      <c r="C507" s="238" t="s">
        <v>468</v>
      </c>
      <c r="D507" s="238"/>
      <c r="E507" s="238"/>
      <c r="F507" s="240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</row>
    <row r="508" ht="15.75" customHeight="1">
      <c r="A508" s="238"/>
      <c r="B508" s="239"/>
      <c r="C508" s="238" t="s">
        <v>468</v>
      </c>
      <c r="D508" s="238"/>
      <c r="E508" s="238"/>
      <c r="F508" s="240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</row>
    <row r="509" ht="15.75" customHeight="1">
      <c r="A509" s="238"/>
      <c r="B509" s="239"/>
      <c r="C509" s="238" t="s">
        <v>468</v>
      </c>
      <c r="D509" s="238"/>
      <c r="E509" s="238"/>
      <c r="F509" s="240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</row>
    <row r="510" ht="15.75" customHeight="1">
      <c r="A510" s="238"/>
      <c r="B510" s="239"/>
      <c r="C510" s="238" t="s">
        <v>468</v>
      </c>
      <c r="D510" s="238"/>
      <c r="E510" s="238"/>
      <c r="F510" s="240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</row>
    <row r="511" ht="15.75" customHeight="1">
      <c r="A511" s="238"/>
      <c r="B511" s="239"/>
      <c r="C511" s="238" t="s">
        <v>468</v>
      </c>
      <c r="D511" s="238"/>
      <c r="E511" s="238"/>
      <c r="F511" s="240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</row>
    <row r="512" ht="15.75" customHeight="1">
      <c r="A512" s="238"/>
      <c r="B512" s="239"/>
      <c r="C512" s="238" t="s">
        <v>468</v>
      </c>
      <c r="D512" s="238"/>
      <c r="E512" s="238"/>
      <c r="F512" s="240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</row>
    <row r="513" ht="15.75" customHeight="1">
      <c r="A513" s="238"/>
      <c r="B513" s="239"/>
      <c r="C513" s="238" t="s">
        <v>468</v>
      </c>
      <c r="D513" s="238"/>
      <c r="E513" s="238"/>
      <c r="F513" s="240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</row>
    <row r="514" ht="15.75" customHeight="1">
      <c r="A514" s="238"/>
      <c r="B514" s="239"/>
      <c r="C514" s="238" t="s">
        <v>468</v>
      </c>
      <c r="D514" s="238"/>
      <c r="E514" s="238"/>
      <c r="F514" s="240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</row>
    <row r="515" ht="15.75" customHeight="1">
      <c r="A515" s="238"/>
      <c r="B515" s="239"/>
      <c r="C515" s="238" t="s">
        <v>468</v>
      </c>
      <c r="D515" s="238"/>
      <c r="E515" s="238"/>
      <c r="F515" s="240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</row>
    <row r="516" ht="15.75" customHeight="1">
      <c r="A516" s="238"/>
      <c r="B516" s="239"/>
      <c r="C516" s="238" t="s">
        <v>468</v>
      </c>
      <c r="D516" s="238"/>
      <c r="E516" s="238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</row>
    <row r="517" ht="15.75" customHeight="1">
      <c r="A517" s="238"/>
      <c r="B517" s="239"/>
      <c r="C517" s="238" t="s">
        <v>468</v>
      </c>
      <c r="D517" s="238"/>
      <c r="E517" s="238"/>
      <c r="F517" s="240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</row>
    <row r="518" ht="15.75" customHeight="1">
      <c r="A518" s="238"/>
      <c r="B518" s="239"/>
      <c r="C518" s="238" t="s">
        <v>468</v>
      </c>
      <c r="D518" s="238"/>
      <c r="E518" s="238"/>
      <c r="F518" s="240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</row>
    <row r="519" ht="15.75" customHeight="1">
      <c r="A519" s="238"/>
      <c r="B519" s="239"/>
      <c r="C519" s="238" t="s">
        <v>468</v>
      </c>
      <c r="D519" s="238"/>
      <c r="E519" s="238"/>
      <c r="F519" s="240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</row>
    <row r="520" ht="15.75" customHeight="1">
      <c r="A520" s="238"/>
      <c r="B520" s="239"/>
      <c r="C520" s="238" t="s">
        <v>468</v>
      </c>
      <c r="D520" s="238"/>
      <c r="E520" s="238"/>
      <c r="F520" s="240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</row>
    <row r="521" ht="15.75" customHeight="1">
      <c r="A521" s="238"/>
      <c r="B521" s="239"/>
      <c r="C521" s="238" t="s">
        <v>468</v>
      </c>
      <c r="D521" s="238"/>
      <c r="E521" s="238"/>
      <c r="F521" s="240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</row>
    <row r="522" ht="15.75" customHeight="1">
      <c r="A522" s="238"/>
      <c r="B522" s="239"/>
      <c r="C522" s="238" t="s">
        <v>468</v>
      </c>
      <c r="D522" s="238"/>
      <c r="E522" s="238"/>
      <c r="F522" s="240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</row>
    <row r="523" ht="15.75" customHeight="1">
      <c r="A523" s="238"/>
      <c r="B523" s="239"/>
      <c r="C523" s="238" t="s">
        <v>468</v>
      </c>
      <c r="D523" s="238"/>
      <c r="E523" s="238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</row>
    <row r="524" ht="15.75" customHeight="1">
      <c r="A524" s="238"/>
      <c r="B524" s="239"/>
      <c r="C524" s="238" t="s">
        <v>468</v>
      </c>
      <c r="D524" s="238"/>
      <c r="E524" s="238"/>
      <c r="F524" s="240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</row>
    <row r="525" ht="15.75" customHeight="1">
      <c r="A525" s="238"/>
      <c r="B525" s="239"/>
      <c r="C525" s="238" t="s">
        <v>468</v>
      </c>
      <c r="D525" s="238"/>
      <c r="E525" s="238"/>
      <c r="F525" s="240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</row>
    <row r="526" ht="15.75" customHeight="1">
      <c r="A526" s="238"/>
      <c r="B526" s="239"/>
      <c r="C526" s="238" t="s">
        <v>468</v>
      </c>
      <c r="D526" s="238"/>
      <c r="E526" s="238"/>
      <c r="F526" s="240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</row>
    <row r="527" ht="15.75" customHeight="1">
      <c r="A527" s="238"/>
      <c r="B527" s="239"/>
      <c r="C527" s="238" t="s">
        <v>468</v>
      </c>
      <c r="D527" s="238"/>
      <c r="E527" s="238"/>
      <c r="F527" s="240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</row>
    <row r="528" ht="15.75" customHeight="1">
      <c r="A528" s="238"/>
      <c r="B528" s="239"/>
      <c r="C528" s="238" t="s">
        <v>468</v>
      </c>
      <c r="D528" s="238"/>
      <c r="E528" s="238"/>
      <c r="F528" s="240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</row>
    <row r="529" ht="15.75" customHeight="1">
      <c r="A529" s="238"/>
      <c r="B529" s="239"/>
      <c r="C529" s="238" t="s">
        <v>468</v>
      </c>
      <c r="D529" s="238"/>
      <c r="E529" s="238"/>
      <c r="F529" s="240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</row>
    <row r="530" ht="15.75" customHeight="1">
      <c r="A530" s="238"/>
      <c r="B530" s="239"/>
      <c r="C530" s="238" t="s">
        <v>468</v>
      </c>
      <c r="D530" s="238"/>
      <c r="E530" s="238"/>
      <c r="F530" s="240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</row>
    <row r="531" ht="15.75" customHeight="1">
      <c r="A531" s="238"/>
      <c r="B531" s="239"/>
      <c r="C531" s="238" t="s">
        <v>468</v>
      </c>
      <c r="D531" s="238"/>
      <c r="E531" s="238"/>
      <c r="F531" s="240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</row>
    <row r="532" ht="15.75" customHeight="1">
      <c r="A532" s="238"/>
      <c r="B532" s="239"/>
      <c r="C532" s="238" t="s">
        <v>468</v>
      </c>
      <c r="D532" s="238"/>
      <c r="E532" s="238"/>
      <c r="F532" s="240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</row>
    <row r="533" ht="15.75" customHeight="1">
      <c r="A533" s="238"/>
      <c r="B533" s="239"/>
      <c r="C533" s="238" t="s">
        <v>468</v>
      </c>
      <c r="D533" s="238"/>
      <c r="E533" s="238"/>
      <c r="F533" s="240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</row>
    <row r="534" ht="15.75" customHeight="1">
      <c r="A534" s="238"/>
      <c r="B534" s="239"/>
      <c r="C534" s="238" t="s">
        <v>468</v>
      </c>
      <c r="D534" s="238"/>
      <c r="E534" s="238"/>
      <c r="F534" s="240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</row>
    <row r="535" ht="15.75" customHeight="1">
      <c r="A535" s="238"/>
      <c r="B535" s="239"/>
      <c r="C535" s="238" t="s">
        <v>468</v>
      </c>
      <c r="D535" s="238"/>
      <c r="E535" s="238"/>
      <c r="F535" s="240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</row>
    <row r="536" ht="15.75" customHeight="1">
      <c r="A536" s="238"/>
      <c r="B536" s="239"/>
      <c r="C536" s="238" t="s">
        <v>468</v>
      </c>
      <c r="D536" s="238"/>
      <c r="E536" s="238"/>
      <c r="F536" s="240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</row>
    <row r="537" ht="15.75" customHeight="1">
      <c r="A537" s="238"/>
      <c r="B537" s="239"/>
      <c r="C537" s="238" t="s">
        <v>468</v>
      </c>
      <c r="D537" s="238"/>
      <c r="E537" s="238"/>
      <c r="F537" s="240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</row>
    <row r="538" ht="15.75" customHeight="1">
      <c r="A538" s="238"/>
      <c r="B538" s="239"/>
      <c r="C538" s="238" t="s">
        <v>468</v>
      </c>
      <c r="D538" s="238"/>
      <c r="E538" s="238"/>
      <c r="F538" s="240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</row>
    <row r="539" ht="15.75" customHeight="1">
      <c r="A539" s="238"/>
      <c r="B539" s="239"/>
      <c r="C539" s="238" t="s">
        <v>468</v>
      </c>
      <c r="D539" s="238"/>
      <c r="E539" s="238"/>
      <c r="F539" s="240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</row>
    <row r="540" ht="15.75" customHeight="1">
      <c r="A540" s="238"/>
      <c r="B540" s="239"/>
      <c r="C540" s="238" t="s">
        <v>468</v>
      </c>
      <c r="D540" s="238"/>
      <c r="E540" s="238"/>
      <c r="F540" s="240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</row>
    <row r="541" ht="15.75" customHeight="1">
      <c r="A541" s="238"/>
      <c r="B541" s="239"/>
      <c r="C541" s="238" t="s">
        <v>468</v>
      </c>
      <c r="D541" s="238"/>
      <c r="E541" s="238"/>
      <c r="F541" s="240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</row>
    <row r="542" ht="15.75" customHeight="1">
      <c r="A542" s="238"/>
      <c r="B542" s="239"/>
      <c r="C542" s="238" t="s">
        <v>468</v>
      </c>
      <c r="D542" s="238"/>
      <c r="E542" s="238"/>
      <c r="F542" s="240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</row>
    <row r="543" ht="15.75" customHeight="1">
      <c r="A543" s="238"/>
      <c r="B543" s="239"/>
      <c r="C543" s="238" t="s">
        <v>468</v>
      </c>
      <c r="D543" s="238"/>
      <c r="E543" s="238"/>
      <c r="F543" s="240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</row>
    <row r="544" ht="15.75" customHeight="1">
      <c r="A544" s="238"/>
      <c r="B544" s="239"/>
      <c r="C544" s="238" t="s">
        <v>468</v>
      </c>
      <c r="D544" s="238"/>
      <c r="E544" s="238"/>
      <c r="F544" s="240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</row>
    <row r="545" ht="15.75" customHeight="1">
      <c r="A545" s="238"/>
      <c r="B545" s="239"/>
      <c r="C545" s="238" t="s">
        <v>468</v>
      </c>
      <c r="D545" s="238"/>
      <c r="E545" s="238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</row>
    <row r="546" ht="15.75" customHeight="1">
      <c r="A546" s="238"/>
      <c r="B546" s="239"/>
      <c r="C546" s="238" t="s">
        <v>468</v>
      </c>
      <c r="D546" s="238"/>
      <c r="E546" s="238"/>
      <c r="F546" s="240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</row>
    <row r="547" ht="15.75" customHeight="1">
      <c r="A547" s="238"/>
      <c r="B547" s="239"/>
      <c r="C547" s="238" t="s">
        <v>468</v>
      </c>
      <c r="D547" s="238"/>
      <c r="E547" s="238"/>
      <c r="F547" s="240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</row>
    <row r="548" ht="15.75" customHeight="1">
      <c r="A548" s="238"/>
      <c r="B548" s="239"/>
      <c r="C548" s="238" t="s">
        <v>468</v>
      </c>
      <c r="D548" s="238"/>
      <c r="E548" s="238"/>
      <c r="F548" s="240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</row>
    <row r="549" ht="15.75" customHeight="1">
      <c r="A549" s="238"/>
      <c r="B549" s="239"/>
      <c r="C549" s="238" t="s">
        <v>468</v>
      </c>
      <c r="D549" s="238"/>
      <c r="E549" s="238"/>
      <c r="F549" s="240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</row>
    <row r="550" ht="15.75" customHeight="1">
      <c r="A550" s="238"/>
      <c r="B550" s="239"/>
      <c r="C550" s="238" t="s">
        <v>468</v>
      </c>
      <c r="D550" s="238"/>
      <c r="E550" s="238"/>
      <c r="F550" s="240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</row>
    <row r="551" ht="15.75" customHeight="1">
      <c r="A551" s="238"/>
      <c r="B551" s="239"/>
      <c r="C551" s="238" t="s">
        <v>468</v>
      </c>
      <c r="D551" s="238"/>
      <c r="E551" s="238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</row>
    <row r="552" ht="15.75" customHeight="1">
      <c r="A552" s="238"/>
      <c r="B552" s="239"/>
      <c r="C552" s="238" t="s">
        <v>468</v>
      </c>
      <c r="D552" s="238"/>
      <c r="E552" s="238"/>
      <c r="F552" s="240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</row>
    <row r="553" ht="15.75" customHeight="1">
      <c r="A553" s="238"/>
      <c r="B553" s="239"/>
      <c r="C553" s="238" t="s">
        <v>468</v>
      </c>
      <c r="D553" s="238"/>
      <c r="E553" s="238"/>
      <c r="F553" s="240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</row>
    <row r="554" ht="15.75" customHeight="1">
      <c r="A554" s="238"/>
      <c r="B554" s="239"/>
      <c r="C554" s="238" t="s">
        <v>468</v>
      </c>
      <c r="D554" s="238"/>
      <c r="E554" s="238"/>
      <c r="F554" s="240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</row>
    <row r="555" ht="15.75" customHeight="1">
      <c r="A555" s="238"/>
      <c r="B555" s="239"/>
      <c r="C555" s="238" t="s">
        <v>468</v>
      </c>
      <c r="D555" s="238"/>
      <c r="E555" s="238"/>
      <c r="F555" s="240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</row>
    <row r="556" ht="15.75" customHeight="1">
      <c r="A556" s="238"/>
      <c r="B556" s="239"/>
      <c r="C556" s="238" t="s">
        <v>468</v>
      </c>
      <c r="D556" s="238"/>
      <c r="E556" s="238"/>
      <c r="F556" s="240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</row>
    <row r="557" ht="15.75" customHeight="1">
      <c r="A557" s="238"/>
      <c r="B557" s="239"/>
      <c r="C557" s="238" t="s">
        <v>468</v>
      </c>
      <c r="D557" s="238"/>
      <c r="E557" s="238"/>
      <c r="F557" s="240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</row>
    <row r="558" ht="15.75" customHeight="1">
      <c r="A558" s="238"/>
      <c r="B558" s="239"/>
      <c r="C558" s="238" t="s">
        <v>468</v>
      </c>
      <c r="D558" s="238"/>
      <c r="E558" s="238"/>
      <c r="F558" s="240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</row>
    <row r="559" ht="15.75" customHeight="1">
      <c r="A559" s="238"/>
      <c r="B559" s="239"/>
      <c r="C559" s="238" t="s">
        <v>468</v>
      </c>
      <c r="D559" s="238"/>
      <c r="E559" s="238"/>
      <c r="F559" s="240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</row>
    <row r="560" ht="15.75" customHeight="1">
      <c r="A560" s="238"/>
      <c r="B560" s="239"/>
      <c r="C560" s="238" t="s">
        <v>468</v>
      </c>
      <c r="D560" s="238"/>
      <c r="E560" s="238"/>
      <c r="F560" s="240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</row>
    <row r="561" ht="15.75" customHeight="1">
      <c r="A561" s="238"/>
      <c r="B561" s="239"/>
      <c r="C561" s="238" t="s">
        <v>468</v>
      </c>
      <c r="D561" s="238"/>
      <c r="E561" s="238"/>
      <c r="F561" s="240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</row>
    <row r="562" ht="15.75" customHeight="1">
      <c r="A562" s="238"/>
      <c r="B562" s="239"/>
      <c r="C562" s="238" t="s">
        <v>468</v>
      </c>
      <c r="D562" s="238"/>
      <c r="E562" s="238"/>
      <c r="F562" s="240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</row>
    <row r="563" ht="15.75" customHeight="1">
      <c r="A563" s="238"/>
      <c r="B563" s="239"/>
      <c r="C563" s="238" t="s">
        <v>468</v>
      </c>
      <c r="D563" s="238"/>
      <c r="E563" s="238"/>
      <c r="F563" s="240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</row>
    <row r="564" ht="15.75" customHeight="1">
      <c r="A564" s="238"/>
      <c r="B564" s="239"/>
      <c r="C564" s="238" t="s">
        <v>468</v>
      </c>
      <c r="D564" s="238"/>
      <c r="E564" s="238"/>
      <c r="F564" s="240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</row>
    <row r="565" ht="15.75" customHeight="1">
      <c r="A565" s="238"/>
      <c r="B565" s="239"/>
      <c r="C565" s="238" t="s">
        <v>468</v>
      </c>
      <c r="D565" s="238"/>
      <c r="E565" s="238"/>
      <c r="F565" s="240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</row>
    <row r="566" ht="15.75" customHeight="1">
      <c r="A566" s="238"/>
      <c r="B566" s="239"/>
      <c r="C566" s="238" t="s">
        <v>468</v>
      </c>
      <c r="D566" s="238"/>
      <c r="E566" s="238"/>
      <c r="F566" s="240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</row>
    <row r="567" ht="15.75" customHeight="1">
      <c r="A567" s="238"/>
      <c r="B567" s="239"/>
      <c r="C567" s="238" t="s">
        <v>468</v>
      </c>
      <c r="D567" s="238"/>
      <c r="E567" s="238"/>
      <c r="F567" s="240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</row>
    <row r="568" ht="15.75" customHeight="1">
      <c r="A568" s="238"/>
      <c r="B568" s="239"/>
      <c r="C568" s="238" t="s">
        <v>468</v>
      </c>
      <c r="D568" s="238"/>
      <c r="E568" s="238"/>
      <c r="F568" s="240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</row>
    <row r="569" ht="15.75" customHeight="1">
      <c r="A569" s="238"/>
      <c r="B569" s="239"/>
      <c r="C569" s="238" t="s">
        <v>468</v>
      </c>
      <c r="D569" s="238"/>
      <c r="E569" s="238"/>
      <c r="F569" s="240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</row>
    <row r="570" ht="15.75" customHeight="1">
      <c r="A570" s="238"/>
      <c r="B570" s="239"/>
      <c r="C570" s="238" t="s">
        <v>468</v>
      </c>
      <c r="D570" s="238"/>
      <c r="E570" s="238"/>
      <c r="F570" s="240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</row>
    <row r="571" ht="15.75" customHeight="1">
      <c r="A571" s="238"/>
      <c r="B571" s="239"/>
      <c r="C571" s="238" t="s">
        <v>468</v>
      </c>
      <c r="D571" s="238"/>
      <c r="E571" s="238"/>
      <c r="F571" s="240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</row>
    <row r="572" ht="15.75" customHeight="1">
      <c r="A572" s="238"/>
      <c r="B572" s="239"/>
      <c r="C572" s="238" t="s">
        <v>468</v>
      </c>
      <c r="D572" s="238"/>
      <c r="E572" s="238"/>
      <c r="F572" s="240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</row>
    <row r="573" ht="15.75" customHeight="1">
      <c r="A573" s="238"/>
      <c r="B573" s="239"/>
      <c r="C573" s="238" t="s">
        <v>468</v>
      </c>
      <c r="D573" s="238"/>
      <c r="E573" s="238"/>
      <c r="F573" s="240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</row>
    <row r="574" ht="15.75" customHeight="1">
      <c r="A574" s="238"/>
      <c r="B574" s="239"/>
      <c r="C574" s="238" t="s">
        <v>468</v>
      </c>
      <c r="D574" s="238"/>
      <c r="E574" s="238"/>
      <c r="F574" s="240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</row>
    <row r="575" ht="15.75" customHeight="1">
      <c r="A575" s="238"/>
      <c r="B575" s="239"/>
      <c r="C575" s="238" t="s">
        <v>468</v>
      </c>
      <c r="D575" s="238"/>
      <c r="E575" s="238"/>
      <c r="F575" s="240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</row>
    <row r="576" ht="15.75" customHeight="1">
      <c r="A576" s="238"/>
      <c r="B576" s="239"/>
      <c r="C576" s="238" t="s">
        <v>468</v>
      </c>
      <c r="D576" s="238"/>
      <c r="E576" s="238"/>
      <c r="F576" s="240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</row>
    <row r="577" ht="15.75" customHeight="1">
      <c r="A577" s="238"/>
      <c r="B577" s="239"/>
      <c r="C577" s="238" t="s">
        <v>468</v>
      </c>
      <c r="D577" s="238"/>
      <c r="E577" s="238"/>
      <c r="F577" s="240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</row>
    <row r="578" ht="15.75" customHeight="1">
      <c r="A578" s="238"/>
      <c r="B578" s="239"/>
      <c r="C578" s="238" t="s">
        <v>468</v>
      </c>
      <c r="D578" s="238"/>
      <c r="E578" s="238"/>
      <c r="F578" s="240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</row>
    <row r="579" ht="15.75" customHeight="1">
      <c r="A579" s="238"/>
      <c r="B579" s="239"/>
      <c r="C579" s="238" t="s">
        <v>468</v>
      </c>
      <c r="D579" s="238"/>
      <c r="E579" s="238"/>
      <c r="F579" s="240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</row>
    <row r="580" ht="15.75" customHeight="1">
      <c r="A580" s="238"/>
      <c r="B580" s="239"/>
      <c r="C580" s="238" t="s">
        <v>468</v>
      </c>
      <c r="D580" s="238"/>
      <c r="E580" s="238"/>
      <c r="F580" s="240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</row>
    <row r="581" ht="15.75" customHeight="1">
      <c r="A581" s="238"/>
      <c r="B581" s="239"/>
      <c r="C581" s="238" t="s">
        <v>468</v>
      </c>
      <c r="D581" s="238"/>
      <c r="E581" s="238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</row>
    <row r="582" ht="15.75" customHeight="1">
      <c r="A582" s="238"/>
      <c r="B582" s="239"/>
      <c r="C582" s="238" t="s">
        <v>468</v>
      </c>
      <c r="D582" s="238"/>
      <c r="E582" s="238"/>
      <c r="F582" s="240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</row>
    <row r="583" ht="15.75" customHeight="1">
      <c r="A583" s="238"/>
      <c r="B583" s="239"/>
      <c r="C583" s="238" t="s">
        <v>468</v>
      </c>
      <c r="D583" s="238"/>
      <c r="E583" s="238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</row>
    <row r="584" ht="15.75" customHeight="1">
      <c r="A584" s="238"/>
      <c r="B584" s="239"/>
      <c r="C584" s="238" t="s">
        <v>468</v>
      </c>
      <c r="D584" s="238"/>
      <c r="E584" s="238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</row>
    <row r="585" ht="15.75" customHeight="1">
      <c r="A585" s="238"/>
      <c r="B585" s="239"/>
      <c r="C585" s="238" t="s">
        <v>468</v>
      </c>
      <c r="D585" s="238"/>
      <c r="E585" s="238"/>
      <c r="F585" s="240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</row>
    <row r="586" ht="15.75" customHeight="1">
      <c r="A586" s="238"/>
      <c r="B586" s="239"/>
      <c r="C586" s="238" t="s">
        <v>468</v>
      </c>
      <c r="D586" s="238"/>
      <c r="E586" s="238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</row>
    <row r="587" ht="15.75" customHeight="1">
      <c r="A587" s="238"/>
      <c r="B587" s="239"/>
      <c r="C587" s="238" t="s">
        <v>468</v>
      </c>
      <c r="D587" s="238"/>
      <c r="E587" s="238"/>
      <c r="F587" s="240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</row>
    <row r="588" ht="15.75" customHeight="1">
      <c r="A588" s="238"/>
      <c r="B588" s="239"/>
      <c r="C588" s="238" t="s">
        <v>468</v>
      </c>
      <c r="D588" s="238"/>
      <c r="E588" s="238"/>
      <c r="F588" s="240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</row>
    <row r="589" ht="15.75" customHeight="1">
      <c r="A589" s="238"/>
      <c r="B589" s="239"/>
      <c r="C589" s="238" t="s">
        <v>468</v>
      </c>
      <c r="D589" s="238"/>
      <c r="E589" s="238"/>
      <c r="F589" s="240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</row>
    <row r="590" ht="15.75" customHeight="1">
      <c r="A590" s="238"/>
      <c r="B590" s="239"/>
      <c r="C590" s="238" t="s">
        <v>468</v>
      </c>
      <c r="D590" s="238"/>
      <c r="E590" s="238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</row>
    <row r="591" ht="15.75" customHeight="1">
      <c r="A591" s="238"/>
      <c r="B591" s="239"/>
      <c r="C591" s="238" t="s">
        <v>468</v>
      </c>
      <c r="D591" s="238"/>
      <c r="E591" s="238"/>
      <c r="F591" s="240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</row>
    <row r="592" ht="15.75" customHeight="1">
      <c r="A592" s="238"/>
      <c r="B592" s="239"/>
      <c r="C592" s="238" t="s">
        <v>468</v>
      </c>
      <c r="D592" s="238"/>
      <c r="E592" s="238"/>
      <c r="F592" s="240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</row>
    <row r="593" ht="15.75" customHeight="1">
      <c r="A593" s="238"/>
      <c r="B593" s="239"/>
      <c r="C593" s="238" t="s">
        <v>468</v>
      </c>
      <c r="D593" s="238"/>
      <c r="E593" s="238"/>
      <c r="F593" s="240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</row>
    <row r="594" ht="15.75" customHeight="1">
      <c r="A594" s="238"/>
      <c r="B594" s="239"/>
      <c r="C594" s="238" t="s">
        <v>468</v>
      </c>
      <c r="D594" s="238"/>
      <c r="E594" s="238"/>
      <c r="F594" s="240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</row>
    <row r="595" ht="15.75" customHeight="1">
      <c r="A595" s="238"/>
      <c r="B595" s="239"/>
      <c r="C595" s="238" t="s">
        <v>468</v>
      </c>
      <c r="D595" s="238"/>
      <c r="E595" s="238"/>
      <c r="F595" s="240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</row>
    <row r="596" ht="15.75" customHeight="1">
      <c r="A596" s="238"/>
      <c r="B596" s="239"/>
      <c r="C596" s="238" t="s">
        <v>468</v>
      </c>
      <c r="D596" s="238"/>
      <c r="E596" s="238"/>
      <c r="F596" s="240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</row>
    <row r="597" ht="15.75" customHeight="1">
      <c r="A597" s="238"/>
      <c r="B597" s="239"/>
      <c r="C597" s="238" t="s">
        <v>468</v>
      </c>
      <c r="D597" s="238"/>
      <c r="E597" s="238"/>
      <c r="F597" s="240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</row>
    <row r="598" ht="15.75" customHeight="1">
      <c r="A598" s="238"/>
      <c r="B598" s="239"/>
      <c r="C598" s="238" t="s">
        <v>468</v>
      </c>
      <c r="D598" s="238"/>
      <c r="E598" s="238"/>
      <c r="F598" s="240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</row>
    <row r="599" ht="15.75" customHeight="1">
      <c r="A599" s="238"/>
      <c r="B599" s="239"/>
      <c r="C599" s="238" t="s">
        <v>468</v>
      </c>
      <c r="D599" s="238"/>
      <c r="E599" s="238"/>
      <c r="F599" s="240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</row>
    <row r="600" ht="15.75" customHeight="1">
      <c r="A600" s="238"/>
      <c r="B600" s="239"/>
      <c r="C600" s="238" t="s">
        <v>468</v>
      </c>
      <c r="D600" s="238"/>
      <c r="E600" s="238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</row>
    <row r="601" ht="15.75" customHeight="1">
      <c r="A601" s="238"/>
      <c r="B601" s="239"/>
      <c r="C601" s="238" t="s">
        <v>468</v>
      </c>
      <c r="D601" s="238"/>
      <c r="E601" s="238"/>
      <c r="F601" s="240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</row>
    <row r="602" ht="15.75" customHeight="1">
      <c r="A602" s="238"/>
      <c r="B602" s="239"/>
      <c r="C602" s="238" t="s">
        <v>468</v>
      </c>
      <c r="D602" s="238"/>
      <c r="E602" s="238"/>
      <c r="F602" s="240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</row>
    <row r="603" ht="15.75" customHeight="1">
      <c r="A603" s="238"/>
      <c r="B603" s="239"/>
      <c r="C603" s="238" t="s">
        <v>468</v>
      </c>
      <c r="D603" s="238"/>
      <c r="E603" s="238"/>
      <c r="F603" s="240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</row>
    <row r="604" ht="15.75" customHeight="1">
      <c r="A604" s="238"/>
      <c r="B604" s="239"/>
      <c r="C604" s="238" t="s">
        <v>468</v>
      </c>
      <c r="D604" s="238"/>
      <c r="E604" s="238"/>
      <c r="F604" s="240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</row>
    <row r="605" ht="15.75" customHeight="1">
      <c r="A605" s="238"/>
      <c r="B605" s="239"/>
      <c r="C605" s="238" t="s">
        <v>468</v>
      </c>
      <c r="D605" s="238"/>
      <c r="E605" s="238"/>
      <c r="F605" s="240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</row>
    <row r="606" ht="15.75" customHeight="1">
      <c r="A606" s="238"/>
      <c r="B606" s="239"/>
      <c r="C606" s="238" t="s">
        <v>468</v>
      </c>
      <c r="D606" s="238"/>
      <c r="E606" s="238"/>
      <c r="F606" s="240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</row>
    <row r="607" ht="15.75" customHeight="1">
      <c r="A607" s="238"/>
      <c r="B607" s="239"/>
      <c r="C607" s="238" t="s">
        <v>468</v>
      </c>
      <c r="D607" s="238"/>
      <c r="E607" s="238"/>
      <c r="F607" s="240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</row>
    <row r="608" ht="15.75" customHeight="1">
      <c r="A608" s="238"/>
      <c r="B608" s="239"/>
      <c r="C608" s="238" t="s">
        <v>468</v>
      </c>
      <c r="D608" s="238"/>
      <c r="E608" s="238"/>
      <c r="F608" s="240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</row>
    <row r="609" ht="15.75" customHeight="1">
      <c r="A609" s="238"/>
      <c r="B609" s="239"/>
      <c r="C609" s="238" t="s">
        <v>468</v>
      </c>
      <c r="D609" s="238"/>
      <c r="E609" s="238"/>
      <c r="F609" s="240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</row>
    <row r="610" ht="15.75" customHeight="1">
      <c r="A610" s="238"/>
      <c r="B610" s="239"/>
      <c r="C610" s="238" t="s">
        <v>468</v>
      </c>
      <c r="D610" s="238"/>
      <c r="E610" s="238"/>
      <c r="F610" s="240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</row>
    <row r="611" ht="15.75" customHeight="1">
      <c r="A611" s="238"/>
      <c r="B611" s="239"/>
      <c r="C611" s="238" t="s">
        <v>468</v>
      </c>
      <c r="D611" s="238"/>
      <c r="E611" s="238"/>
      <c r="F611" s="240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</row>
    <row r="612" ht="15.75" customHeight="1">
      <c r="A612" s="238"/>
      <c r="B612" s="239"/>
      <c r="C612" s="238" t="s">
        <v>468</v>
      </c>
      <c r="D612" s="238"/>
      <c r="E612" s="238"/>
      <c r="F612" s="240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</row>
    <row r="613" ht="15.75" customHeight="1">
      <c r="A613" s="238"/>
      <c r="B613" s="239"/>
      <c r="C613" s="238" t="s">
        <v>468</v>
      </c>
      <c r="D613" s="238"/>
      <c r="E613" s="238"/>
      <c r="F613" s="240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</row>
    <row r="614" ht="15.75" customHeight="1">
      <c r="A614" s="238"/>
      <c r="B614" s="239"/>
      <c r="C614" s="238" t="s">
        <v>468</v>
      </c>
      <c r="D614" s="238"/>
      <c r="E614" s="238"/>
      <c r="F614" s="240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</row>
    <row r="615" ht="15.75" customHeight="1">
      <c r="A615" s="238"/>
      <c r="B615" s="239"/>
      <c r="C615" s="238" t="s">
        <v>468</v>
      </c>
      <c r="D615" s="238"/>
      <c r="E615" s="238"/>
      <c r="F615" s="240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</row>
    <row r="616" ht="15.75" customHeight="1">
      <c r="A616" s="238"/>
      <c r="B616" s="239"/>
      <c r="C616" s="238" t="s">
        <v>468</v>
      </c>
      <c r="D616" s="238"/>
      <c r="E616" s="238"/>
      <c r="F616" s="240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</row>
    <row r="617" ht="15.75" customHeight="1">
      <c r="A617" s="238"/>
      <c r="B617" s="239"/>
      <c r="C617" s="238" t="s">
        <v>468</v>
      </c>
      <c r="D617" s="238"/>
      <c r="E617" s="238"/>
      <c r="F617" s="240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</row>
    <row r="618" ht="15.75" customHeight="1">
      <c r="A618" s="238"/>
      <c r="B618" s="239"/>
      <c r="C618" s="238" t="s">
        <v>468</v>
      </c>
      <c r="D618" s="238"/>
      <c r="E618" s="238"/>
      <c r="F618" s="240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</row>
    <row r="619" ht="15.75" customHeight="1">
      <c r="A619" s="238"/>
      <c r="B619" s="239"/>
      <c r="C619" s="238" t="s">
        <v>468</v>
      </c>
      <c r="D619" s="238"/>
      <c r="E619" s="238"/>
      <c r="F619" s="240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</row>
    <row r="620" ht="15.75" customHeight="1">
      <c r="A620" s="238"/>
      <c r="B620" s="239"/>
      <c r="C620" s="238" t="s">
        <v>468</v>
      </c>
      <c r="D620" s="238"/>
      <c r="E620" s="238"/>
      <c r="F620" s="240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</row>
    <row r="621" ht="15.75" customHeight="1">
      <c r="A621" s="238"/>
      <c r="B621" s="239"/>
      <c r="C621" s="238" t="s">
        <v>468</v>
      </c>
      <c r="D621" s="238"/>
      <c r="E621" s="238"/>
      <c r="F621" s="240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</row>
    <row r="622" ht="15.75" customHeight="1">
      <c r="A622" s="238"/>
      <c r="B622" s="239"/>
      <c r="C622" s="238" t="s">
        <v>468</v>
      </c>
      <c r="D622" s="238"/>
      <c r="E622" s="238"/>
      <c r="F622" s="240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</row>
    <row r="623" ht="15.75" customHeight="1">
      <c r="A623" s="238"/>
      <c r="B623" s="239"/>
      <c r="C623" s="238" t="s">
        <v>468</v>
      </c>
      <c r="D623" s="238"/>
      <c r="E623" s="238"/>
      <c r="F623" s="240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</row>
    <row r="624" ht="15.75" customHeight="1">
      <c r="A624" s="238"/>
      <c r="B624" s="239"/>
      <c r="C624" s="238" t="s">
        <v>468</v>
      </c>
      <c r="D624" s="238"/>
      <c r="E624" s="238"/>
      <c r="F624" s="240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</row>
    <row r="625" ht="15.75" customHeight="1">
      <c r="A625" s="238"/>
      <c r="B625" s="239"/>
      <c r="C625" s="238" t="s">
        <v>468</v>
      </c>
      <c r="D625" s="238"/>
      <c r="E625" s="238"/>
      <c r="F625" s="240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</row>
    <row r="626" ht="15.75" customHeight="1">
      <c r="A626" s="238"/>
      <c r="B626" s="239"/>
      <c r="C626" s="238" t="s">
        <v>468</v>
      </c>
      <c r="D626" s="238"/>
      <c r="E626" s="238"/>
      <c r="F626" s="240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</row>
    <row r="627" ht="15.75" customHeight="1">
      <c r="A627" s="238"/>
      <c r="B627" s="239"/>
      <c r="C627" s="238" t="s">
        <v>468</v>
      </c>
      <c r="D627" s="238"/>
      <c r="E627" s="238"/>
      <c r="F627" s="240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</row>
    <row r="628" ht="15.75" customHeight="1">
      <c r="A628" s="238"/>
      <c r="B628" s="239"/>
      <c r="C628" s="238" t="s">
        <v>468</v>
      </c>
      <c r="D628" s="238"/>
      <c r="E628" s="238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</row>
    <row r="629" ht="15.75" customHeight="1">
      <c r="A629" s="238"/>
      <c r="B629" s="239"/>
      <c r="C629" s="238" t="s">
        <v>468</v>
      </c>
      <c r="D629" s="238"/>
      <c r="E629" s="238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</row>
    <row r="630" ht="15.75" customHeight="1">
      <c r="A630" s="238"/>
      <c r="B630" s="239"/>
      <c r="C630" s="238" t="s">
        <v>468</v>
      </c>
      <c r="D630" s="238"/>
      <c r="E630" s="238"/>
      <c r="F630" s="240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</row>
    <row r="631" ht="15.75" customHeight="1">
      <c r="A631" s="238"/>
      <c r="B631" s="239"/>
      <c r="C631" s="238" t="s">
        <v>468</v>
      </c>
      <c r="D631" s="238"/>
      <c r="E631" s="238"/>
      <c r="F631" s="240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</row>
    <row r="632" ht="15.75" customHeight="1">
      <c r="A632" s="238"/>
      <c r="B632" s="239"/>
      <c r="C632" s="238" t="s">
        <v>468</v>
      </c>
      <c r="D632" s="238"/>
      <c r="E632" s="238"/>
      <c r="F632" s="240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</row>
    <row r="633" ht="15.75" customHeight="1">
      <c r="A633" s="238"/>
      <c r="B633" s="239"/>
      <c r="C633" s="238" t="s">
        <v>468</v>
      </c>
      <c r="D633" s="238"/>
      <c r="E633" s="238"/>
      <c r="F633" s="240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</row>
    <row r="634" ht="15.75" customHeight="1">
      <c r="A634" s="238"/>
      <c r="B634" s="239"/>
      <c r="C634" s="238" t="s">
        <v>468</v>
      </c>
      <c r="D634" s="238"/>
      <c r="E634" s="238"/>
      <c r="F634" s="240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</row>
    <row r="635" ht="15.75" customHeight="1">
      <c r="A635" s="238"/>
      <c r="B635" s="239"/>
      <c r="C635" s="238" t="s">
        <v>468</v>
      </c>
      <c r="D635" s="238"/>
      <c r="E635" s="238"/>
      <c r="F635" s="240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</row>
    <row r="636" ht="15.75" customHeight="1">
      <c r="A636" s="238"/>
      <c r="B636" s="239"/>
      <c r="C636" s="238" t="s">
        <v>468</v>
      </c>
      <c r="D636" s="238"/>
      <c r="E636" s="238"/>
      <c r="F636" s="240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</row>
    <row r="637" ht="15.75" customHeight="1">
      <c r="A637" s="238"/>
      <c r="B637" s="239"/>
      <c r="C637" s="238" t="s">
        <v>468</v>
      </c>
      <c r="D637" s="238"/>
      <c r="E637" s="238"/>
      <c r="F637" s="240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</row>
    <row r="638" ht="15.75" customHeight="1">
      <c r="A638" s="238"/>
      <c r="B638" s="239"/>
      <c r="C638" s="238" t="s">
        <v>468</v>
      </c>
      <c r="D638" s="238"/>
      <c r="E638" s="238"/>
      <c r="F638" s="240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</row>
    <row r="639" ht="15.75" customHeight="1">
      <c r="A639" s="238"/>
      <c r="B639" s="239"/>
      <c r="C639" s="238" t="s">
        <v>468</v>
      </c>
      <c r="D639" s="238"/>
      <c r="E639" s="238"/>
      <c r="F639" s="240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</row>
    <row r="640" ht="15.75" customHeight="1">
      <c r="A640" s="238"/>
      <c r="B640" s="239"/>
      <c r="C640" s="238" t="s">
        <v>468</v>
      </c>
      <c r="D640" s="238"/>
      <c r="E640" s="238"/>
      <c r="F640" s="240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</row>
    <row r="641" ht="15.75" customHeight="1">
      <c r="A641" s="238"/>
      <c r="B641" s="239"/>
      <c r="C641" s="238" t="s">
        <v>468</v>
      </c>
      <c r="D641" s="238"/>
      <c r="E641" s="238"/>
      <c r="F641" s="240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</row>
    <row r="642" ht="15.75" customHeight="1">
      <c r="A642" s="238"/>
      <c r="B642" s="239"/>
      <c r="C642" s="238" t="s">
        <v>468</v>
      </c>
      <c r="D642" s="238"/>
      <c r="E642" s="238"/>
      <c r="F642" s="240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</row>
    <row r="643" ht="15.75" customHeight="1">
      <c r="A643" s="238"/>
      <c r="B643" s="239"/>
      <c r="C643" s="238" t="s">
        <v>468</v>
      </c>
      <c r="D643" s="238"/>
      <c r="E643" s="238"/>
      <c r="F643" s="240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</row>
    <row r="644" ht="15.75" customHeight="1">
      <c r="A644" s="238"/>
      <c r="B644" s="239"/>
      <c r="C644" s="238" t="s">
        <v>468</v>
      </c>
      <c r="D644" s="238"/>
      <c r="E644" s="238"/>
      <c r="F644" s="240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</row>
    <row r="645" ht="15.75" customHeight="1">
      <c r="A645" s="238"/>
      <c r="B645" s="239"/>
      <c r="C645" s="238" t="s">
        <v>468</v>
      </c>
      <c r="D645" s="238"/>
      <c r="E645" s="238"/>
      <c r="F645" s="240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</row>
    <row r="646" ht="15.75" customHeight="1">
      <c r="A646" s="238"/>
      <c r="B646" s="239"/>
      <c r="C646" s="238" t="s">
        <v>468</v>
      </c>
      <c r="D646" s="238"/>
      <c r="E646" s="238"/>
      <c r="F646" s="240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</row>
    <row r="647" ht="15.75" customHeight="1">
      <c r="A647" s="238"/>
      <c r="B647" s="239"/>
      <c r="C647" s="238" t="s">
        <v>468</v>
      </c>
      <c r="D647" s="238"/>
      <c r="E647" s="238"/>
      <c r="F647" s="240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</row>
    <row r="648" ht="15.75" customHeight="1">
      <c r="A648" s="238"/>
      <c r="B648" s="239"/>
      <c r="C648" s="238" t="s">
        <v>468</v>
      </c>
      <c r="D648" s="238"/>
      <c r="E648" s="238"/>
      <c r="F648" s="240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</row>
    <row r="649" ht="15.75" customHeight="1">
      <c r="A649" s="238"/>
      <c r="B649" s="239"/>
      <c r="C649" s="238" t="s">
        <v>468</v>
      </c>
      <c r="D649" s="238"/>
      <c r="E649" s="238"/>
      <c r="F649" s="240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</row>
    <row r="650" ht="15.75" customHeight="1">
      <c r="A650" s="238"/>
      <c r="B650" s="239"/>
      <c r="C650" s="238" t="s">
        <v>468</v>
      </c>
      <c r="D650" s="238"/>
      <c r="E650" s="238"/>
      <c r="F650" s="240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</row>
    <row r="651" ht="15.75" customHeight="1">
      <c r="A651" s="238"/>
      <c r="B651" s="239"/>
      <c r="C651" s="238" t="s">
        <v>468</v>
      </c>
      <c r="D651" s="238"/>
      <c r="E651" s="238"/>
      <c r="F651" s="240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</row>
    <row r="652" ht="15.75" customHeight="1">
      <c r="A652" s="238"/>
      <c r="B652" s="239"/>
      <c r="C652" s="238" t="s">
        <v>468</v>
      </c>
      <c r="D652" s="238"/>
      <c r="E652" s="238"/>
      <c r="F652" s="240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</row>
    <row r="653" ht="15.75" customHeight="1">
      <c r="A653" s="238"/>
      <c r="B653" s="239"/>
      <c r="C653" s="238" t="s">
        <v>468</v>
      </c>
      <c r="D653" s="238"/>
      <c r="E653" s="238"/>
      <c r="F653" s="240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</row>
    <row r="654" ht="15.75" customHeight="1">
      <c r="A654" s="238"/>
      <c r="B654" s="239"/>
      <c r="C654" s="238" t="s">
        <v>468</v>
      </c>
      <c r="D654" s="238"/>
      <c r="E654" s="238"/>
      <c r="F654" s="240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</row>
    <row r="655" ht="15.75" customHeight="1">
      <c r="A655" s="238"/>
      <c r="B655" s="239"/>
      <c r="C655" s="238" t="s">
        <v>468</v>
      </c>
      <c r="D655" s="238"/>
      <c r="E655" s="238"/>
      <c r="F655" s="240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</row>
    <row r="656" ht="15.75" customHeight="1">
      <c r="A656" s="238"/>
      <c r="B656" s="239"/>
      <c r="C656" s="238" t="s">
        <v>468</v>
      </c>
      <c r="D656" s="238"/>
      <c r="E656" s="238"/>
      <c r="F656" s="240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</row>
    <row r="657" ht="15.75" customHeight="1">
      <c r="A657" s="238"/>
      <c r="B657" s="239"/>
      <c r="C657" s="238" t="s">
        <v>468</v>
      </c>
      <c r="D657" s="238"/>
      <c r="E657" s="238"/>
      <c r="F657" s="240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</row>
    <row r="658" ht="15.75" customHeight="1">
      <c r="A658" s="238"/>
      <c r="B658" s="239"/>
      <c r="C658" s="238" t="s">
        <v>468</v>
      </c>
      <c r="D658" s="238"/>
      <c r="E658" s="238"/>
      <c r="F658" s="240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</row>
    <row r="659" ht="15.75" customHeight="1">
      <c r="A659" s="238"/>
      <c r="B659" s="239"/>
      <c r="C659" s="238" t="s">
        <v>468</v>
      </c>
      <c r="D659" s="238"/>
      <c r="E659" s="238"/>
      <c r="F659" s="240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</row>
    <row r="660" ht="15.75" customHeight="1">
      <c r="A660" s="238"/>
      <c r="B660" s="239"/>
      <c r="C660" s="238" t="s">
        <v>468</v>
      </c>
      <c r="D660" s="238"/>
      <c r="E660" s="238"/>
      <c r="F660" s="240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</row>
    <row r="661" ht="15.75" customHeight="1">
      <c r="A661" s="238"/>
      <c r="B661" s="239"/>
      <c r="C661" s="238" t="s">
        <v>468</v>
      </c>
      <c r="D661" s="238"/>
      <c r="E661" s="238"/>
      <c r="F661" s="240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</row>
    <row r="662" ht="15.75" customHeight="1">
      <c r="A662" s="238"/>
      <c r="B662" s="239"/>
      <c r="C662" s="238" t="s">
        <v>468</v>
      </c>
      <c r="D662" s="238"/>
      <c r="E662" s="238"/>
      <c r="F662" s="240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</row>
    <row r="663" ht="15.75" customHeight="1">
      <c r="A663" s="238"/>
      <c r="B663" s="239"/>
      <c r="C663" s="238" t="s">
        <v>468</v>
      </c>
      <c r="D663" s="238"/>
      <c r="E663" s="238"/>
      <c r="F663" s="240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</row>
    <row r="664" ht="15.75" customHeight="1">
      <c r="A664" s="238"/>
      <c r="B664" s="239"/>
      <c r="C664" s="238" t="s">
        <v>468</v>
      </c>
      <c r="D664" s="238"/>
      <c r="E664" s="238"/>
      <c r="F664" s="240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</row>
    <row r="665" ht="15.75" customHeight="1">
      <c r="A665" s="238"/>
      <c r="B665" s="239"/>
      <c r="C665" s="238" t="s">
        <v>468</v>
      </c>
      <c r="D665" s="238"/>
      <c r="E665" s="238"/>
      <c r="F665" s="240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</row>
    <row r="666" ht="15.75" customHeight="1">
      <c r="A666" s="238"/>
      <c r="B666" s="239"/>
      <c r="C666" s="238" t="s">
        <v>468</v>
      </c>
      <c r="D666" s="238"/>
      <c r="E666" s="238"/>
      <c r="F666" s="240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</row>
    <row r="667" ht="15.75" customHeight="1">
      <c r="A667" s="238"/>
      <c r="B667" s="239"/>
      <c r="C667" s="238" t="s">
        <v>468</v>
      </c>
      <c r="D667" s="238"/>
      <c r="E667" s="238"/>
      <c r="F667" s="240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</row>
    <row r="668" ht="15.75" customHeight="1">
      <c r="A668" s="238"/>
      <c r="B668" s="239"/>
      <c r="C668" s="238" t="s">
        <v>468</v>
      </c>
      <c r="D668" s="238"/>
      <c r="E668" s="238"/>
      <c r="F668" s="240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</row>
    <row r="669" ht="15.75" customHeight="1">
      <c r="A669" s="238"/>
      <c r="B669" s="239"/>
      <c r="C669" s="238" t="s">
        <v>468</v>
      </c>
      <c r="D669" s="238"/>
      <c r="E669" s="238"/>
      <c r="F669" s="240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</row>
    <row r="670" ht="15.75" customHeight="1">
      <c r="A670" s="238"/>
      <c r="B670" s="239"/>
      <c r="C670" s="238" t="s">
        <v>468</v>
      </c>
      <c r="D670" s="238"/>
      <c r="E670" s="238"/>
      <c r="F670" s="240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</row>
    <row r="671" ht="15.75" customHeight="1">
      <c r="A671" s="238"/>
      <c r="B671" s="239"/>
      <c r="C671" s="238" t="s">
        <v>468</v>
      </c>
      <c r="D671" s="238"/>
      <c r="E671" s="238"/>
      <c r="F671" s="240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</row>
    <row r="672" ht="15.75" customHeight="1">
      <c r="A672" s="238"/>
      <c r="B672" s="239"/>
      <c r="C672" s="238" t="s">
        <v>468</v>
      </c>
      <c r="D672" s="238"/>
      <c r="E672" s="238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</row>
    <row r="673" ht="15.75" customHeight="1">
      <c r="A673" s="238"/>
      <c r="B673" s="239"/>
      <c r="C673" s="238" t="s">
        <v>468</v>
      </c>
      <c r="D673" s="238"/>
      <c r="E673" s="238"/>
      <c r="F673" s="240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</row>
    <row r="674" ht="15.75" customHeight="1">
      <c r="A674" s="238"/>
      <c r="B674" s="239"/>
      <c r="C674" s="238" t="s">
        <v>468</v>
      </c>
      <c r="D674" s="238"/>
      <c r="E674" s="238"/>
      <c r="F674" s="240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</row>
    <row r="675" ht="15.75" customHeight="1">
      <c r="A675" s="238"/>
      <c r="B675" s="239"/>
      <c r="C675" s="238" t="s">
        <v>468</v>
      </c>
      <c r="D675" s="238"/>
      <c r="E675" s="238"/>
      <c r="F675" s="240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</row>
    <row r="676" ht="15.75" customHeight="1">
      <c r="A676" s="238"/>
      <c r="B676" s="239"/>
      <c r="C676" s="238" t="s">
        <v>468</v>
      </c>
      <c r="D676" s="238"/>
      <c r="E676" s="238"/>
      <c r="F676" s="240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</row>
    <row r="677" ht="15.75" customHeight="1">
      <c r="A677" s="238"/>
      <c r="B677" s="239"/>
      <c r="C677" s="238" t="s">
        <v>468</v>
      </c>
      <c r="D677" s="238"/>
      <c r="E677" s="238"/>
      <c r="F677" s="240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</row>
    <row r="678" ht="15.75" customHeight="1">
      <c r="A678" s="238"/>
      <c r="B678" s="239"/>
      <c r="C678" s="238" t="s">
        <v>468</v>
      </c>
      <c r="D678" s="238"/>
      <c r="E678" s="238"/>
      <c r="F678" s="240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</row>
    <row r="679" ht="15.75" customHeight="1">
      <c r="A679" s="238"/>
      <c r="B679" s="239"/>
      <c r="C679" s="238" t="s">
        <v>468</v>
      </c>
      <c r="D679" s="238"/>
      <c r="E679" s="238"/>
      <c r="F679" s="240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</row>
    <row r="680" ht="15.75" customHeight="1">
      <c r="A680" s="238"/>
      <c r="B680" s="239"/>
      <c r="C680" s="238" t="s">
        <v>468</v>
      </c>
      <c r="D680" s="238"/>
      <c r="E680" s="238"/>
      <c r="F680" s="240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</row>
    <row r="681" ht="15.75" customHeight="1">
      <c r="A681" s="238"/>
      <c r="B681" s="239"/>
      <c r="C681" s="238" t="s">
        <v>468</v>
      </c>
      <c r="D681" s="238"/>
      <c r="E681" s="238"/>
      <c r="F681" s="240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</row>
    <row r="682" ht="15.75" customHeight="1">
      <c r="A682" s="238"/>
      <c r="B682" s="239"/>
      <c r="C682" s="238" t="s">
        <v>468</v>
      </c>
      <c r="D682" s="238"/>
      <c r="E682" s="238"/>
      <c r="F682" s="240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</row>
    <row r="683" ht="15.75" customHeight="1">
      <c r="A683" s="238"/>
      <c r="B683" s="239"/>
      <c r="C683" s="238" t="s">
        <v>468</v>
      </c>
      <c r="D683" s="238"/>
      <c r="E683" s="238"/>
      <c r="F683" s="240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</row>
    <row r="684" ht="15.75" customHeight="1">
      <c r="A684" s="238"/>
      <c r="B684" s="239"/>
      <c r="C684" s="238" t="s">
        <v>468</v>
      </c>
      <c r="D684" s="238"/>
      <c r="E684" s="238"/>
      <c r="F684" s="240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</row>
    <row r="685" ht="15.75" customHeight="1">
      <c r="A685" s="238"/>
      <c r="B685" s="239"/>
      <c r="C685" s="238" t="s">
        <v>468</v>
      </c>
      <c r="D685" s="238"/>
      <c r="E685" s="238"/>
      <c r="F685" s="240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</row>
    <row r="686" ht="15.75" customHeight="1">
      <c r="A686" s="238"/>
      <c r="B686" s="239"/>
      <c r="C686" s="238" t="s">
        <v>468</v>
      </c>
      <c r="D686" s="238"/>
      <c r="E686" s="238"/>
      <c r="F686" s="240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</row>
    <row r="687" ht="15.75" customHeight="1">
      <c r="A687" s="238"/>
      <c r="B687" s="239"/>
      <c r="C687" s="238" t="s">
        <v>468</v>
      </c>
      <c r="D687" s="238"/>
      <c r="E687" s="238"/>
      <c r="F687" s="240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</row>
    <row r="688" ht="15.75" customHeight="1">
      <c r="A688" s="238"/>
      <c r="B688" s="239"/>
      <c r="C688" s="238" t="s">
        <v>468</v>
      </c>
      <c r="D688" s="238"/>
      <c r="E688" s="238"/>
      <c r="F688" s="240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</row>
    <row r="689" ht="15.75" customHeight="1">
      <c r="A689" s="238"/>
      <c r="B689" s="239"/>
      <c r="C689" s="238" t="s">
        <v>468</v>
      </c>
      <c r="D689" s="238"/>
      <c r="E689" s="238"/>
      <c r="F689" s="240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</row>
    <row r="690" ht="15.75" customHeight="1">
      <c r="A690" s="238"/>
      <c r="B690" s="239"/>
      <c r="C690" s="238" t="s">
        <v>468</v>
      </c>
      <c r="D690" s="238"/>
      <c r="E690" s="238"/>
      <c r="F690" s="240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</row>
    <row r="691" ht="15.75" customHeight="1">
      <c r="A691" s="238"/>
      <c r="B691" s="239"/>
      <c r="C691" s="238" t="s">
        <v>468</v>
      </c>
      <c r="D691" s="238"/>
      <c r="E691" s="238"/>
      <c r="F691" s="240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</row>
    <row r="692" ht="15.75" customHeight="1">
      <c r="A692" s="238"/>
      <c r="B692" s="239"/>
      <c r="C692" s="238" t="s">
        <v>468</v>
      </c>
      <c r="D692" s="238"/>
      <c r="E692" s="238"/>
      <c r="F692" s="240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</row>
    <row r="693" ht="15.75" customHeight="1">
      <c r="A693" s="238"/>
      <c r="B693" s="239"/>
      <c r="C693" s="238" t="s">
        <v>468</v>
      </c>
      <c r="D693" s="238"/>
      <c r="E693" s="238"/>
      <c r="F693" s="240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</row>
    <row r="694" ht="15.75" customHeight="1">
      <c r="A694" s="238"/>
      <c r="B694" s="239"/>
      <c r="C694" s="238" t="s">
        <v>468</v>
      </c>
      <c r="D694" s="238"/>
      <c r="E694" s="238"/>
      <c r="F694" s="240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</row>
    <row r="695" ht="15.75" customHeight="1">
      <c r="A695" s="238"/>
      <c r="B695" s="239"/>
      <c r="C695" s="238" t="s">
        <v>468</v>
      </c>
      <c r="D695" s="238"/>
      <c r="E695" s="238"/>
      <c r="F695" s="240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</row>
    <row r="696" ht="15.75" customHeight="1">
      <c r="A696" s="238"/>
      <c r="B696" s="239"/>
      <c r="C696" s="238" t="s">
        <v>468</v>
      </c>
      <c r="D696" s="238"/>
      <c r="E696" s="238"/>
      <c r="F696" s="240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</row>
    <row r="697" ht="15.75" customHeight="1">
      <c r="A697" s="238"/>
      <c r="B697" s="239"/>
      <c r="C697" s="238" t="s">
        <v>468</v>
      </c>
      <c r="D697" s="238"/>
      <c r="E697" s="238"/>
      <c r="F697" s="240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</row>
    <row r="698" ht="15.75" customHeight="1">
      <c r="A698" s="238"/>
      <c r="B698" s="239"/>
      <c r="C698" s="238" t="s">
        <v>468</v>
      </c>
      <c r="D698" s="238"/>
      <c r="E698" s="238"/>
      <c r="F698" s="240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</row>
    <row r="699" ht="15.75" customHeight="1">
      <c r="A699" s="238"/>
      <c r="B699" s="239"/>
      <c r="C699" s="238" t="s">
        <v>468</v>
      </c>
      <c r="D699" s="238"/>
      <c r="E699" s="238"/>
      <c r="F699" s="240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</row>
    <row r="700" ht="15.75" customHeight="1">
      <c r="A700" s="238"/>
      <c r="B700" s="239"/>
      <c r="C700" s="238" t="s">
        <v>468</v>
      </c>
      <c r="D700" s="238"/>
      <c r="E700" s="238"/>
      <c r="F700" s="240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</row>
    <row r="701" ht="15.75" customHeight="1">
      <c r="A701" s="238"/>
      <c r="B701" s="239"/>
      <c r="C701" s="238" t="s">
        <v>468</v>
      </c>
      <c r="D701" s="238"/>
      <c r="E701" s="238"/>
      <c r="F701" s="240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</row>
    <row r="702" ht="15.75" customHeight="1">
      <c r="A702" s="238"/>
      <c r="B702" s="239"/>
      <c r="C702" s="238" t="s">
        <v>468</v>
      </c>
      <c r="D702" s="238"/>
      <c r="E702" s="238"/>
      <c r="F702" s="240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</row>
    <row r="703" ht="15.75" customHeight="1">
      <c r="A703" s="238"/>
      <c r="B703" s="239"/>
      <c r="C703" s="238" t="s">
        <v>468</v>
      </c>
      <c r="D703" s="238"/>
      <c r="E703" s="238"/>
      <c r="F703" s="240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</row>
    <row r="704" ht="15.75" customHeight="1">
      <c r="A704" s="238"/>
      <c r="B704" s="239"/>
      <c r="C704" s="238" t="s">
        <v>468</v>
      </c>
      <c r="D704" s="238"/>
      <c r="E704" s="238"/>
      <c r="F704" s="240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</row>
    <row r="705" ht="15.75" customHeight="1">
      <c r="A705" s="238"/>
      <c r="B705" s="239"/>
      <c r="C705" s="238" t="s">
        <v>468</v>
      </c>
      <c r="D705" s="238"/>
      <c r="E705" s="238"/>
      <c r="F705" s="240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</row>
    <row r="706" ht="15.75" customHeight="1">
      <c r="A706" s="238"/>
      <c r="B706" s="239"/>
      <c r="C706" s="238" t="s">
        <v>468</v>
      </c>
      <c r="D706" s="238"/>
      <c r="E706" s="238"/>
      <c r="F706" s="240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</row>
    <row r="707" ht="15.75" customHeight="1">
      <c r="A707" s="238"/>
      <c r="B707" s="239"/>
      <c r="C707" s="238" t="s">
        <v>468</v>
      </c>
      <c r="D707" s="238"/>
      <c r="E707" s="238"/>
      <c r="F707" s="240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</row>
    <row r="708" ht="15.75" customHeight="1">
      <c r="A708" s="238"/>
      <c r="B708" s="239"/>
      <c r="C708" s="238" t="s">
        <v>468</v>
      </c>
      <c r="D708" s="238"/>
      <c r="E708" s="238"/>
      <c r="F708" s="240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</row>
    <row r="709" ht="15.75" customHeight="1">
      <c r="A709" s="238"/>
      <c r="B709" s="239"/>
      <c r="C709" s="238" t="s">
        <v>468</v>
      </c>
      <c r="D709" s="238"/>
      <c r="E709" s="238"/>
      <c r="F709" s="240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</row>
    <row r="710" ht="15.75" customHeight="1">
      <c r="A710" s="238"/>
      <c r="B710" s="239"/>
      <c r="C710" s="238" t="s">
        <v>468</v>
      </c>
      <c r="D710" s="238"/>
      <c r="E710" s="238"/>
      <c r="F710" s="240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</row>
    <row r="711" ht="15.75" customHeight="1">
      <c r="A711" s="238"/>
      <c r="B711" s="239"/>
      <c r="C711" s="238" t="s">
        <v>468</v>
      </c>
      <c r="D711" s="238"/>
      <c r="E711" s="238"/>
      <c r="F711" s="240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</row>
    <row r="712" ht="15.75" customHeight="1">
      <c r="A712" s="238"/>
      <c r="B712" s="239"/>
      <c r="C712" s="238" t="s">
        <v>468</v>
      </c>
      <c r="D712" s="238"/>
      <c r="E712" s="238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</row>
    <row r="713" ht="15.75" customHeight="1">
      <c r="A713" s="238"/>
      <c r="B713" s="239"/>
      <c r="C713" s="238" t="s">
        <v>468</v>
      </c>
      <c r="D713" s="238"/>
      <c r="E713" s="238"/>
      <c r="F713" s="240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</row>
    <row r="714" ht="15.75" customHeight="1">
      <c r="A714" s="238"/>
      <c r="B714" s="239"/>
      <c r="C714" s="238" t="s">
        <v>468</v>
      </c>
      <c r="D714" s="238"/>
      <c r="E714" s="238"/>
      <c r="F714" s="240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</row>
    <row r="715" ht="15.75" customHeight="1">
      <c r="A715" s="238"/>
      <c r="B715" s="239"/>
      <c r="C715" s="238" t="s">
        <v>468</v>
      </c>
      <c r="D715" s="238"/>
      <c r="E715" s="238"/>
      <c r="F715" s="240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</row>
    <row r="716" ht="15.75" customHeight="1">
      <c r="A716" s="238"/>
      <c r="B716" s="239"/>
      <c r="C716" s="238" t="s">
        <v>468</v>
      </c>
      <c r="D716" s="238"/>
      <c r="E716" s="238"/>
      <c r="F716" s="240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</row>
    <row r="717" ht="15.75" customHeight="1">
      <c r="A717" s="238"/>
      <c r="B717" s="239"/>
      <c r="C717" s="238" t="s">
        <v>468</v>
      </c>
      <c r="D717" s="238"/>
      <c r="E717" s="238"/>
      <c r="F717" s="240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</row>
    <row r="718" ht="15.75" customHeight="1">
      <c r="A718" s="238"/>
      <c r="B718" s="239"/>
      <c r="C718" s="238" t="s">
        <v>468</v>
      </c>
      <c r="D718" s="238"/>
      <c r="E718" s="238"/>
      <c r="F718" s="240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</row>
    <row r="719" ht="15.75" customHeight="1">
      <c r="A719" s="238"/>
      <c r="B719" s="239"/>
      <c r="C719" s="238" t="s">
        <v>468</v>
      </c>
      <c r="D719" s="238"/>
      <c r="E719" s="238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</row>
    <row r="720" ht="15.75" customHeight="1">
      <c r="A720" s="238"/>
      <c r="B720" s="239"/>
      <c r="C720" s="238" t="s">
        <v>468</v>
      </c>
      <c r="D720" s="238"/>
      <c r="E720" s="238"/>
      <c r="F720" s="240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</row>
    <row r="721" ht="15.75" customHeight="1">
      <c r="A721" s="238"/>
      <c r="B721" s="239"/>
      <c r="C721" s="238" t="s">
        <v>468</v>
      </c>
      <c r="D721" s="238"/>
      <c r="E721" s="238"/>
      <c r="F721" s="240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</row>
    <row r="722" ht="15.75" customHeight="1">
      <c r="A722" s="238"/>
      <c r="B722" s="239"/>
      <c r="C722" s="238" t="s">
        <v>468</v>
      </c>
      <c r="D722" s="238"/>
      <c r="E722" s="238"/>
      <c r="F722" s="240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</row>
    <row r="723" ht="15.75" customHeight="1">
      <c r="A723" s="238"/>
      <c r="B723" s="239"/>
      <c r="C723" s="238" t="s">
        <v>468</v>
      </c>
      <c r="D723" s="238"/>
      <c r="E723" s="238"/>
      <c r="F723" s="240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</row>
    <row r="724" ht="15.75" customHeight="1">
      <c r="A724" s="238"/>
      <c r="B724" s="239"/>
      <c r="C724" s="238" t="s">
        <v>468</v>
      </c>
      <c r="D724" s="238"/>
      <c r="E724" s="238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</row>
    <row r="725" ht="15.75" customHeight="1">
      <c r="A725" s="238"/>
      <c r="B725" s="239"/>
      <c r="C725" s="238" t="s">
        <v>468</v>
      </c>
      <c r="D725" s="238"/>
      <c r="E725" s="238"/>
      <c r="F725" s="240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</row>
    <row r="726" ht="15.75" customHeight="1">
      <c r="A726" s="238"/>
      <c r="B726" s="239"/>
      <c r="C726" s="238" t="s">
        <v>468</v>
      </c>
      <c r="D726" s="238"/>
      <c r="E726" s="238"/>
      <c r="F726" s="240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</row>
    <row r="727" ht="15.75" customHeight="1">
      <c r="A727" s="238"/>
      <c r="B727" s="239"/>
      <c r="C727" s="238" t="s">
        <v>468</v>
      </c>
      <c r="D727" s="238"/>
      <c r="E727" s="238"/>
      <c r="F727" s="240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</row>
    <row r="728" ht="15.75" customHeight="1">
      <c r="A728" s="238"/>
      <c r="B728" s="239"/>
      <c r="C728" s="238" t="s">
        <v>468</v>
      </c>
      <c r="D728" s="238"/>
      <c r="E728" s="238"/>
      <c r="F728" s="240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</row>
    <row r="729" ht="15.75" customHeight="1">
      <c r="A729" s="238"/>
      <c r="B729" s="239"/>
      <c r="C729" s="238" t="s">
        <v>468</v>
      </c>
      <c r="D729" s="238"/>
      <c r="E729" s="238"/>
      <c r="F729" s="240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</row>
    <row r="730" ht="15.75" customHeight="1">
      <c r="A730" s="238"/>
      <c r="B730" s="239"/>
      <c r="C730" s="238" t="s">
        <v>468</v>
      </c>
      <c r="D730" s="238"/>
      <c r="E730" s="238"/>
      <c r="F730" s="240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</row>
    <row r="731" ht="15.75" customHeight="1">
      <c r="A731" s="238"/>
      <c r="B731" s="239"/>
      <c r="C731" s="238" t="s">
        <v>468</v>
      </c>
      <c r="D731" s="238"/>
      <c r="E731" s="238"/>
      <c r="F731" s="240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</row>
    <row r="732" ht="15.75" customHeight="1">
      <c r="A732" s="238"/>
      <c r="B732" s="239"/>
      <c r="C732" s="238" t="s">
        <v>468</v>
      </c>
      <c r="D732" s="238"/>
      <c r="E732" s="238"/>
      <c r="F732" s="240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</row>
    <row r="733" ht="15.75" customHeight="1">
      <c r="A733" s="238"/>
      <c r="B733" s="239"/>
      <c r="C733" s="238" t="s">
        <v>468</v>
      </c>
      <c r="D733" s="238"/>
      <c r="E733" s="238"/>
      <c r="F733" s="240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</row>
    <row r="734" ht="15.75" customHeight="1">
      <c r="A734" s="238"/>
      <c r="B734" s="239"/>
      <c r="C734" s="238" t="s">
        <v>468</v>
      </c>
      <c r="D734" s="238"/>
      <c r="E734" s="238"/>
      <c r="F734" s="240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</row>
    <row r="735" ht="15.75" customHeight="1">
      <c r="A735" s="238"/>
      <c r="B735" s="239"/>
      <c r="C735" s="238" t="s">
        <v>468</v>
      </c>
      <c r="D735" s="238"/>
      <c r="E735" s="238"/>
      <c r="F735" s="240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</row>
    <row r="736" ht="15.75" customHeight="1">
      <c r="A736" s="238"/>
      <c r="B736" s="239"/>
      <c r="C736" s="238" t="s">
        <v>468</v>
      </c>
      <c r="D736" s="238"/>
      <c r="E736" s="238"/>
      <c r="F736" s="240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</row>
    <row r="737" ht="15.75" customHeight="1">
      <c r="A737" s="238"/>
      <c r="B737" s="239"/>
      <c r="C737" s="238" t="s">
        <v>468</v>
      </c>
      <c r="D737" s="238"/>
      <c r="E737" s="238"/>
      <c r="F737" s="240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</row>
    <row r="738" ht="15.75" customHeight="1">
      <c r="A738" s="238"/>
      <c r="B738" s="239"/>
      <c r="C738" s="238" t="s">
        <v>468</v>
      </c>
      <c r="D738" s="238"/>
      <c r="E738" s="238"/>
      <c r="F738" s="240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</row>
    <row r="739" ht="15.75" customHeight="1">
      <c r="A739" s="238"/>
      <c r="B739" s="239"/>
      <c r="C739" s="238" t="s">
        <v>468</v>
      </c>
      <c r="D739" s="238"/>
      <c r="E739" s="238"/>
      <c r="F739" s="240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</row>
    <row r="740" ht="15.75" customHeight="1">
      <c r="A740" s="238"/>
      <c r="B740" s="239"/>
      <c r="C740" s="238" t="s">
        <v>468</v>
      </c>
      <c r="D740" s="238"/>
      <c r="E740" s="238"/>
      <c r="F740" s="240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</row>
    <row r="741" ht="15.75" customHeight="1">
      <c r="A741" s="238"/>
      <c r="B741" s="239"/>
      <c r="C741" s="238" t="s">
        <v>468</v>
      </c>
      <c r="D741" s="238"/>
      <c r="E741" s="238"/>
      <c r="F741" s="240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</row>
    <row r="742" ht="15.75" customHeight="1">
      <c r="A742" s="238"/>
      <c r="B742" s="239"/>
      <c r="C742" s="238" t="s">
        <v>468</v>
      </c>
      <c r="D742" s="238"/>
      <c r="E742" s="238"/>
      <c r="F742" s="240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</row>
    <row r="743" ht="15.75" customHeight="1">
      <c r="A743" s="238"/>
      <c r="B743" s="239"/>
      <c r="C743" s="238" t="s">
        <v>468</v>
      </c>
      <c r="D743" s="238"/>
      <c r="E743" s="238"/>
      <c r="F743" s="240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</row>
    <row r="744" ht="15.75" customHeight="1">
      <c r="A744" s="238"/>
      <c r="B744" s="239"/>
      <c r="C744" s="238" t="s">
        <v>468</v>
      </c>
      <c r="D744" s="238"/>
      <c r="E744" s="238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</row>
    <row r="745" ht="15.75" customHeight="1">
      <c r="A745" s="238"/>
      <c r="B745" s="239"/>
      <c r="C745" s="238" t="s">
        <v>468</v>
      </c>
      <c r="D745" s="238"/>
      <c r="E745" s="238"/>
      <c r="F745" s="240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</row>
    <row r="746" ht="15.75" customHeight="1">
      <c r="A746" s="238"/>
      <c r="B746" s="239"/>
      <c r="C746" s="238" t="s">
        <v>468</v>
      </c>
      <c r="D746" s="238"/>
      <c r="E746" s="238"/>
      <c r="F746" s="240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</row>
    <row r="747" ht="15.75" customHeight="1">
      <c r="A747" s="238"/>
      <c r="B747" s="239"/>
      <c r="C747" s="238" t="s">
        <v>468</v>
      </c>
      <c r="D747" s="238"/>
      <c r="E747" s="238"/>
      <c r="F747" s="240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</row>
    <row r="748" ht="15.75" customHeight="1">
      <c r="A748" s="238"/>
      <c r="B748" s="239"/>
      <c r="C748" s="238" t="s">
        <v>468</v>
      </c>
      <c r="D748" s="238"/>
      <c r="E748" s="238"/>
      <c r="F748" s="240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</row>
    <row r="749" ht="15.75" customHeight="1">
      <c r="A749" s="238"/>
      <c r="B749" s="239"/>
      <c r="C749" s="238" t="s">
        <v>468</v>
      </c>
      <c r="D749" s="238"/>
      <c r="E749" s="238"/>
      <c r="F749" s="240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</row>
    <row r="750" ht="15.75" customHeight="1">
      <c r="A750" s="238"/>
      <c r="B750" s="239"/>
      <c r="C750" s="238" t="s">
        <v>468</v>
      </c>
      <c r="D750" s="238"/>
      <c r="E750" s="238"/>
      <c r="F750" s="240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</row>
    <row r="751" ht="15.75" customHeight="1">
      <c r="A751" s="238"/>
      <c r="B751" s="239"/>
      <c r="C751" s="238" t="s">
        <v>468</v>
      </c>
      <c r="D751" s="238"/>
      <c r="E751" s="238"/>
      <c r="F751" s="240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</row>
    <row r="752" ht="15.75" customHeight="1">
      <c r="A752" s="238"/>
      <c r="B752" s="239"/>
      <c r="C752" s="238" t="s">
        <v>468</v>
      </c>
      <c r="D752" s="238"/>
      <c r="E752" s="238"/>
      <c r="F752" s="240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</row>
    <row r="753" ht="15.75" customHeight="1">
      <c r="A753" s="238"/>
      <c r="B753" s="239"/>
      <c r="C753" s="238" t="s">
        <v>468</v>
      </c>
      <c r="D753" s="238"/>
      <c r="E753" s="238"/>
      <c r="F753" s="240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</row>
    <row r="754" ht="15.75" customHeight="1">
      <c r="A754" s="238"/>
      <c r="B754" s="239"/>
      <c r="C754" s="238" t="s">
        <v>468</v>
      </c>
      <c r="D754" s="238"/>
      <c r="E754" s="238"/>
      <c r="F754" s="240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</row>
    <row r="755" ht="15.75" customHeight="1">
      <c r="A755" s="238"/>
      <c r="B755" s="239"/>
      <c r="C755" s="238" t="s">
        <v>468</v>
      </c>
      <c r="D755" s="238"/>
      <c r="E755" s="238"/>
      <c r="F755" s="240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</row>
    <row r="756" ht="15.75" customHeight="1">
      <c r="A756" s="238"/>
      <c r="B756" s="239"/>
      <c r="C756" s="238" t="s">
        <v>468</v>
      </c>
      <c r="D756" s="238"/>
      <c r="E756" s="238"/>
      <c r="F756" s="240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</row>
    <row r="757" ht="15.75" customHeight="1">
      <c r="A757" s="238"/>
      <c r="B757" s="239"/>
      <c r="C757" s="238" t="s">
        <v>468</v>
      </c>
      <c r="D757" s="238"/>
      <c r="E757" s="238"/>
      <c r="F757" s="240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</row>
    <row r="758" ht="15.75" customHeight="1">
      <c r="A758" s="238"/>
      <c r="B758" s="239"/>
      <c r="C758" s="238" t="s">
        <v>468</v>
      </c>
      <c r="D758" s="238"/>
      <c r="E758" s="238"/>
      <c r="F758" s="240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</row>
    <row r="759" ht="15.75" customHeight="1">
      <c r="A759" s="238"/>
      <c r="B759" s="239"/>
      <c r="C759" s="238" t="s">
        <v>468</v>
      </c>
      <c r="D759" s="238"/>
      <c r="E759" s="238"/>
      <c r="F759" s="240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</row>
    <row r="760" ht="15.75" customHeight="1">
      <c r="A760" s="238"/>
      <c r="B760" s="239"/>
      <c r="C760" s="238" t="s">
        <v>468</v>
      </c>
      <c r="D760" s="238"/>
      <c r="E760" s="238"/>
      <c r="F760" s="240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</row>
    <row r="761" ht="15.75" customHeight="1">
      <c r="A761" s="238"/>
      <c r="B761" s="239"/>
      <c r="C761" s="238" t="s">
        <v>468</v>
      </c>
      <c r="D761" s="238"/>
      <c r="E761" s="238"/>
      <c r="F761" s="240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</row>
    <row r="762" ht="15.75" customHeight="1">
      <c r="A762" s="238"/>
      <c r="B762" s="239"/>
      <c r="C762" s="238" t="s">
        <v>468</v>
      </c>
      <c r="D762" s="238"/>
      <c r="E762" s="238"/>
      <c r="F762" s="240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</row>
    <row r="763" ht="15.75" customHeight="1">
      <c r="A763" s="238"/>
      <c r="B763" s="239"/>
      <c r="C763" s="238" t="s">
        <v>468</v>
      </c>
      <c r="D763" s="238"/>
      <c r="E763" s="238"/>
      <c r="F763" s="240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</row>
    <row r="764" ht="15.75" customHeight="1">
      <c r="A764" s="238"/>
      <c r="B764" s="239"/>
      <c r="C764" s="238" t="s">
        <v>468</v>
      </c>
      <c r="D764" s="238"/>
      <c r="E764" s="238"/>
      <c r="F764" s="240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</row>
    <row r="765" ht="15.75" customHeight="1">
      <c r="A765" s="238"/>
      <c r="B765" s="239"/>
      <c r="C765" s="238" t="s">
        <v>468</v>
      </c>
      <c r="D765" s="238"/>
      <c r="E765" s="238"/>
      <c r="F765" s="240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</row>
    <row r="766" ht="15.75" customHeight="1">
      <c r="A766" s="238"/>
      <c r="B766" s="239"/>
      <c r="C766" s="238" t="s">
        <v>468</v>
      </c>
      <c r="D766" s="238"/>
      <c r="E766" s="238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</row>
    <row r="767" ht="15.75" customHeight="1">
      <c r="A767" s="238"/>
      <c r="B767" s="239"/>
      <c r="C767" s="238" t="s">
        <v>468</v>
      </c>
      <c r="D767" s="238"/>
      <c r="E767" s="238"/>
      <c r="F767" s="240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</row>
    <row r="768" ht="15.75" customHeight="1">
      <c r="A768" s="238"/>
      <c r="B768" s="239"/>
      <c r="C768" s="238" t="s">
        <v>468</v>
      </c>
      <c r="D768" s="238"/>
      <c r="E768" s="238"/>
      <c r="F768" s="240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</row>
    <row r="769" ht="15.75" customHeight="1">
      <c r="A769" s="238"/>
      <c r="B769" s="239"/>
      <c r="C769" s="238" t="s">
        <v>468</v>
      </c>
      <c r="D769" s="238"/>
      <c r="E769" s="238"/>
      <c r="F769" s="240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</row>
    <row r="770" ht="15.75" customHeight="1">
      <c r="A770" s="238"/>
      <c r="B770" s="239"/>
      <c r="C770" s="238" t="s">
        <v>468</v>
      </c>
      <c r="D770" s="238"/>
      <c r="E770" s="238"/>
      <c r="F770" s="240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</row>
    <row r="771" ht="15.75" customHeight="1">
      <c r="A771" s="238"/>
      <c r="B771" s="239"/>
      <c r="C771" s="238" t="s">
        <v>468</v>
      </c>
      <c r="D771" s="238"/>
      <c r="E771" s="238"/>
      <c r="F771" s="240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</row>
    <row r="772" ht="15.75" customHeight="1">
      <c r="A772" s="238"/>
      <c r="B772" s="239"/>
      <c r="C772" s="238" t="s">
        <v>468</v>
      </c>
      <c r="D772" s="238"/>
      <c r="E772" s="238"/>
      <c r="F772" s="240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</row>
    <row r="773" ht="15.75" customHeight="1">
      <c r="A773" s="238"/>
      <c r="B773" s="239"/>
      <c r="C773" s="238" t="s">
        <v>468</v>
      </c>
      <c r="D773" s="238"/>
      <c r="E773" s="238"/>
      <c r="F773" s="240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</row>
    <row r="774" ht="15.75" customHeight="1">
      <c r="A774" s="238"/>
      <c r="B774" s="239"/>
      <c r="C774" s="238" t="s">
        <v>468</v>
      </c>
      <c r="D774" s="238"/>
      <c r="E774" s="238"/>
      <c r="F774" s="240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</row>
    <row r="775" ht="15.75" customHeight="1">
      <c r="A775" s="238"/>
      <c r="B775" s="239"/>
      <c r="C775" s="238" t="s">
        <v>468</v>
      </c>
      <c r="D775" s="238"/>
      <c r="E775" s="238"/>
      <c r="F775" s="240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</row>
    <row r="776" ht="15.75" customHeight="1">
      <c r="A776" s="238"/>
      <c r="B776" s="239"/>
      <c r="C776" s="238" t="s">
        <v>468</v>
      </c>
      <c r="D776" s="238"/>
      <c r="E776" s="238"/>
      <c r="F776" s="240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</row>
    <row r="777" ht="15.75" customHeight="1">
      <c r="A777" s="238"/>
      <c r="B777" s="239"/>
      <c r="C777" s="238" t="s">
        <v>468</v>
      </c>
      <c r="D777" s="238"/>
      <c r="E777" s="238"/>
      <c r="F777" s="240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</row>
    <row r="778" ht="15.75" customHeight="1">
      <c r="A778" s="238"/>
      <c r="B778" s="239"/>
      <c r="C778" s="238" t="s">
        <v>468</v>
      </c>
      <c r="D778" s="238"/>
      <c r="E778" s="238"/>
      <c r="F778" s="240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</row>
    <row r="779" ht="15.75" customHeight="1">
      <c r="A779" s="238"/>
      <c r="B779" s="239"/>
      <c r="C779" s="238" t="s">
        <v>468</v>
      </c>
      <c r="D779" s="238"/>
      <c r="E779" s="238"/>
      <c r="F779" s="240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</row>
    <row r="780" ht="15.75" customHeight="1">
      <c r="A780" s="238"/>
      <c r="B780" s="239"/>
      <c r="C780" s="238" t="s">
        <v>468</v>
      </c>
      <c r="D780" s="238"/>
      <c r="E780" s="238"/>
      <c r="F780" s="240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</row>
    <row r="781" ht="15.75" customHeight="1">
      <c r="A781" s="238"/>
      <c r="B781" s="239"/>
      <c r="C781" s="238" t="s">
        <v>468</v>
      </c>
      <c r="D781" s="238"/>
      <c r="E781" s="238"/>
      <c r="F781" s="240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</row>
    <row r="782" ht="15.75" customHeight="1">
      <c r="A782" s="238"/>
      <c r="B782" s="239"/>
      <c r="C782" s="238" t="s">
        <v>468</v>
      </c>
      <c r="D782" s="238"/>
      <c r="E782" s="238"/>
      <c r="F782" s="240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</row>
    <row r="783" ht="15.75" customHeight="1">
      <c r="A783" s="238"/>
      <c r="B783" s="239"/>
      <c r="C783" s="238" t="s">
        <v>468</v>
      </c>
      <c r="D783" s="238"/>
      <c r="E783" s="238"/>
      <c r="F783" s="240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</row>
    <row r="784" ht="15.75" customHeight="1">
      <c r="A784" s="238"/>
      <c r="B784" s="239"/>
      <c r="C784" s="238" t="s">
        <v>468</v>
      </c>
      <c r="D784" s="238"/>
      <c r="E784" s="238"/>
      <c r="F784" s="240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</row>
    <row r="785" ht="15.75" customHeight="1">
      <c r="A785" s="238"/>
      <c r="B785" s="239"/>
      <c r="C785" s="238" t="s">
        <v>468</v>
      </c>
      <c r="D785" s="238"/>
      <c r="E785" s="238"/>
      <c r="F785" s="240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</row>
    <row r="786" ht="15.75" customHeight="1">
      <c r="A786" s="238"/>
      <c r="B786" s="239"/>
      <c r="C786" s="238" t="s">
        <v>468</v>
      </c>
      <c r="D786" s="238"/>
      <c r="E786" s="238"/>
      <c r="F786" s="240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</row>
    <row r="787" ht="15.75" customHeight="1">
      <c r="A787" s="238"/>
      <c r="B787" s="239"/>
      <c r="C787" s="238" t="s">
        <v>468</v>
      </c>
      <c r="D787" s="238"/>
      <c r="E787" s="238"/>
      <c r="F787" s="240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</row>
    <row r="788" ht="15.75" customHeight="1">
      <c r="A788" s="238"/>
      <c r="B788" s="239"/>
      <c r="C788" s="238" t="s">
        <v>468</v>
      </c>
      <c r="D788" s="238"/>
      <c r="E788" s="238"/>
      <c r="F788" s="240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</row>
    <row r="789" ht="15.75" customHeight="1">
      <c r="A789" s="238"/>
      <c r="B789" s="239"/>
      <c r="C789" s="238" t="s">
        <v>468</v>
      </c>
      <c r="D789" s="238"/>
      <c r="E789" s="238"/>
      <c r="F789" s="240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</row>
    <row r="790" ht="15.75" customHeight="1">
      <c r="A790" s="238"/>
      <c r="B790" s="239"/>
      <c r="C790" s="238" t="s">
        <v>468</v>
      </c>
      <c r="D790" s="238"/>
      <c r="E790" s="238"/>
      <c r="F790" s="240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</row>
    <row r="791" ht="15.75" customHeight="1">
      <c r="A791" s="238"/>
      <c r="B791" s="239"/>
      <c r="C791" s="238" t="s">
        <v>468</v>
      </c>
      <c r="D791" s="238"/>
      <c r="E791" s="238"/>
      <c r="F791" s="240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</row>
    <row r="792" ht="15.75" customHeight="1">
      <c r="A792" s="238"/>
      <c r="B792" s="239"/>
      <c r="C792" s="238" t="s">
        <v>468</v>
      </c>
      <c r="D792" s="238"/>
      <c r="E792" s="238"/>
      <c r="F792" s="240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</row>
    <row r="793" ht="15.75" customHeight="1">
      <c r="A793" s="238"/>
      <c r="B793" s="239"/>
      <c r="C793" s="238" t="s">
        <v>468</v>
      </c>
      <c r="D793" s="238"/>
      <c r="E793" s="238"/>
      <c r="F793" s="240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</row>
    <row r="794" ht="15.75" customHeight="1">
      <c r="A794" s="238"/>
      <c r="B794" s="239"/>
      <c r="C794" s="238" t="s">
        <v>468</v>
      </c>
      <c r="D794" s="238"/>
      <c r="E794" s="238"/>
      <c r="F794" s="240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</row>
    <row r="795" ht="15.75" customHeight="1">
      <c r="A795" s="238"/>
      <c r="B795" s="239"/>
      <c r="C795" s="238" t="s">
        <v>468</v>
      </c>
      <c r="D795" s="238"/>
      <c r="E795" s="238"/>
      <c r="F795" s="240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</row>
    <row r="796" ht="15.75" customHeight="1">
      <c r="A796" s="238"/>
      <c r="B796" s="239"/>
      <c r="C796" s="238" t="s">
        <v>468</v>
      </c>
      <c r="D796" s="238"/>
      <c r="E796" s="238"/>
      <c r="F796" s="240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</row>
    <row r="797" ht="15.75" customHeight="1">
      <c r="A797" s="238"/>
      <c r="B797" s="239"/>
      <c r="C797" s="238" t="s">
        <v>468</v>
      </c>
      <c r="D797" s="238"/>
      <c r="E797" s="238"/>
      <c r="F797" s="240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</row>
    <row r="798" ht="15.75" customHeight="1">
      <c r="A798" s="238"/>
      <c r="B798" s="239"/>
      <c r="C798" s="238" t="s">
        <v>468</v>
      </c>
      <c r="D798" s="238"/>
      <c r="E798" s="238"/>
      <c r="F798" s="240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</row>
    <row r="799" ht="15.75" customHeight="1">
      <c r="A799" s="238"/>
      <c r="B799" s="239"/>
      <c r="C799" s="238" t="s">
        <v>468</v>
      </c>
      <c r="D799" s="238"/>
      <c r="E799" s="238"/>
      <c r="F799" s="240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</row>
    <row r="800" ht="15.75" customHeight="1">
      <c r="A800" s="238"/>
      <c r="B800" s="239"/>
      <c r="C800" s="238" t="s">
        <v>468</v>
      </c>
      <c r="D800" s="238"/>
      <c r="E800" s="238"/>
      <c r="F800" s="240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</row>
    <row r="801" ht="15.75" customHeight="1">
      <c r="A801" s="238"/>
      <c r="B801" s="239"/>
      <c r="C801" s="238" t="s">
        <v>468</v>
      </c>
      <c r="D801" s="238"/>
      <c r="E801" s="238"/>
      <c r="F801" s="240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</row>
    <row r="802" ht="15.75" customHeight="1">
      <c r="A802" s="238"/>
      <c r="B802" s="239"/>
      <c r="C802" s="238" t="s">
        <v>468</v>
      </c>
      <c r="D802" s="238"/>
      <c r="E802" s="238"/>
      <c r="F802" s="240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</row>
    <row r="803" ht="15.75" customHeight="1">
      <c r="A803" s="238"/>
      <c r="B803" s="239"/>
      <c r="C803" s="238" t="s">
        <v>468</v>
      </c>
      <c r="D803" s="238"/>
      <c r="E803" s="238"/>
      <c r="F803" s="240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</row>
    <row r="804" ht="15.75" customHeight="1">
      <c r="A804" s="238"/>
      <c r="B804" s="239"/>
      <c r="C804" s="238" t="s">
        <v>468</v>
      </c>
      <c r="D804" s="238"/>
      <c r="E804" s="238"/>
      <c r="F804" s="240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</row>
    <row r="805" ht="15.75" customHeight="1">
      <c r="A805" s="238"/>
      <c r="B805" s="239"/>
      <c r="C805" s="238" t="s">
        <v>468</v>
      </c>
      <c r="D805" s="238"/>
      <c r="E805" s="238"/>
      <c r="F805" s="240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</row>
    <row r="806" ht="15.75" customHeight="1">
      <c r="A806" s="238"/>
      <c r="B806" s="239"/>
      <c r="C806" s="238" t="s">
        <v>468</v>
      </c>
      <c r="D806" s="238"/>
      <c r="E806" s="238"/>
      <c r="F806" s="240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</row>
    <row r="807" ht="15.75" customHeight="1">
      <c r="A807" s="238"/>
      <c r="B807" s="239"/>
      <c r="C807" s="238" t="s">
        <v>468</v>
      </c>
      <c r="D807" s="238"/>
      <c r="E807" s="238"/>
      <c r="F807" s="240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</row>
    <row r="808" ht="15.75" customHeight="1">
      <c r="A808" s="238"/>
      <c r="B808" s="239"/>
      <c r="C808" s="238" t="s">
        <v>468</v>
      </c>
      <c r="D808" s="238"/>
      <c r="E808" s="238"/>
      <c r="F808" s="240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</row>
    <row r="809" ht="15.75" customHeight="1">
      <c r="A809" s="238"/>
      <c r="B809" s="239"/>
      <c r="C809" s="238" t="s">
        <v>468</v>
      </c>
      <c r="D809" s="238"/>
      <c r="E809" s="238"/>
      <c r="F809" s="240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</row>
    <row r="810" ht="15.75" customHeight="1">
      <c r="A810" s="238"/>
      <c r="B810" s="239"/>
      <c r="C810" s="238" t="s">
        <v>468</v>
      </c>
      <c r="D810" s="238"/>
      <c r="E810" s="238"/>
      <c r="F810" s="240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</row>
    <row r="811" ht="15.75" customHeight="1">
      <c r="A811" s="238"/>
      <c r="B811" s="239"/>
      <c r="C811" s="238" t="s">
        <v>468</v>
      </c>
      <c r="D811" s="238"/>
      <c r="E811" s="238"/>
      <c r="F811" s="240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</row>
    <row r="812" ht="15.75" customHeight="1">
      <c r="A812" s="238"/>
      <c r="B812" s="239"/>
      <c r="C812" s="238" t="s">
        <v>468</v>
      </c>
      <c r="D812" s="238"/>
      <c r="E812" s="238"/>
      <c r="F812" s="240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</row>
    <row r="813" ht="15.75" customHeight="1">
      <c r="A813" s="238"/>
      <c r="B813" s="239"/>
      <c r="C813" s="238" t="s">
        <v>468</v>
      </c>
      <c r="D813" s="238"/>
      <c r="E813" s="238"/>
      <c r="F813" s="240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</row>
    <row r="814" ht="15.75" customHeight="1">
      <c r="A814" s="238"/>
      <c r="B814" s="239"/>
      <c r="C814" s="238" t="s">
        <v>468</v>
      </c>
      <c r="D814" s="238"/>
      <c r="E814" s="238"/>
      <c r="F814" s="240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</row>
    <row r="815" ht="15.75" customHeight="1">
      <c r="A815" s="238"/>
      <c r="B815" s="239"/>
      <c r="C815" s="238" t="s">
        <v>468</v>
      </c>
      <c r="D815" s="238"/>
      <c r="E815" s="238"/>
      <c r="F815" s="240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</row>
    <row r="816" ht="15.75" customHeight="1">
      <c r="A816" s="238"/>
      <c r="B816" s="239"/>
      <c r="C816" s="238" t="s">
        <v>468</v>
      </c>
      <c r="D816" s="238"/>
      <c r="E816" s="238"/>
      <c r="F816" s="240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</row>
    <row r="817" ht="15.75" customHeight="1">
      <c r="A817" s="238"/>
      <c r="B817" s="239"/>
      <c r="C817" s="238" t="s">
        <v>468</v>
      </c>
      <c r="D817" s="238"/>
      <c r="E817" s="238"/>
      <c r="F817" s="240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</row>
    <row r="818" ht="15.75" customHeight="1">
      <c r="A818" s="238"/>
      <c r="B818" s="239"/>
      <c r="C818" s="238" t="s">
        <v>468</v>
      </c>
      <c r="D818" s="238"/>
      <c r="E818" s="238"/>
      <c r="F818" s="240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</row>
    <row r="819" ht="15.75" customHeight="1">
      <c r="A819" s="238"/>
      <c r="B819" s="239"/>
      <c r="C819" s="238" t="s">
        <v>468</v>
      </c>
      <c r="D819" s="238"/>
      <c r="E819" s="238"/>
      <c r="F819" s="240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</row>
    <row r="820" ht="15.75" customHeight="1">
      <c r="A820" s="238"/>
      <c r="B820" s="239"/>
      <c r="C820" s="238" t="s">
        <v>468</v>
      </c>
      <c r="D820" s="238"/>
      <c r="E820" s="238"/>
      <c r="F820" s="240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</row>
    <row r="821" ht="15.75" customHeight="1">
      <c r="A821" s="238"/>
      <c r="B821" s="239"/>
      <c r="C821" s="238" t="s">
        <v>468</v>
      </c>
      <c r="D821" s="238"/>
      <c r="E821" s="238"/>
      <c r="F821" s="240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</row>
    <row r="822" ht="15.75" customHeight="1">
      <c r="A822" s="238"/>
      <c r="B822" s="239"/>
      <c r="C822" s="238" t="s">
        <v>468</v>
      </c>
      <c r="D822" s="238"/>
      <c r="E822" s="238"/>
      <c r="F822" s="240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</row>
    <row r="823" ht="15.75" customHeight="1">
      <c r="A823" s="238"/>
      <c r="B823" s="239"/>
      <c r="C823" s="238" t="s">
        <v>468</v>
      </c>
      <c r="D823" s="238"/>
      <c r="E823" s="238"/>
      <c r="F823" s="240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</row>
    <row r="824" ht="15.75" customHeight="1">
      <c r="A824" s="238"/>
      <c r="B824" s="239"/>
      <c r="C824" s="238" t="s">
        <v>468</v>
      </c>
      <c r="D824" s="238"/>
      <c r="E824" s="238"/>
      <c r="F824" s="240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</row>
    <row r="825" ht="15.75" customHeight="1">
      <c r="A825" s="238"/>
      <c r="B825" s="239"/>
      <c r="C825" s="238" t="s">
        <v>468</v>
      </c>
      <c r="D825" s="238"/>
      <c r="E825" s="238"/>
      <c r="F825" s="240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</row>
    <row r="826" ht="15.75" customHeight="1">
      <c r="A826" s="238"/>
      <c r="B826" s="239"/>
      <c r="C826" s="238" t="s">
        <v>468</v>
      </c>
      <c r="D826" s="238"/>
      <c r="E826" s="238"/>
      <c r="F826" s="240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</row>
    <row r="827" ht="15.75" customHeight="1">
      <c r="A827" s="238"/>
      <c r="B827" s="239"/>
      <c r="C827" s="238" t="s">
        <v>468</v>
      </c>
      <c r="D827" s="238"/>
      <c r="E827" s="238"/>
      <c r="F827" s="240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</row>
    <row r="828" ht="15.75" customHeight="1">
      <c r="A828" s="238"/>
      <c r="B828" s="239"/>
      <c r="C828" s="238" t="s">
        <v>468</v>
      </c>
      <c r="D828" s="238"/>
      <c r="E828" s="238"/>
      <c r="F828" s="240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</row>
    <row r="829" ht="15.75" customHeight="1">
      <c r="A829" s="238"/>
      <c r="B829" s="239"/>
      <c r="C829" s="238" t="s">
        <v>468</v>
      </c>
      <c r="D829" s="238"/>
      <c r="E829" s="238"/>
      <c r="F829" s="240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</row>
    <row r="830" ht="15.75" customHeight="1">
      <c r="A830" s="238"/>
      <c r="B830" s="239"/>
      <c r="C830" s="238" t="s">
        <v>468</v>
      </c>
      <c r="D830" s="238"/>
      <c r="E830" s="238"/>
      <c r="F830" s="240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</row>
    <row r="831" ht="15.75" customHeight="1">
      <c r="A831" s="238"/>
      <c r="B831" s="239"/>
      <c r="C831" s="238" t="s">
        <v>468</v>
      </c>
      <c r="D831" s="238"/>
      <c r="E831" s="238"/>
      <c r="F831" s="240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</row>
    <row r="832" ht="15.75" customHeight="1">
      <c r="A832" s="238"/>
      <c r="B832" s="239"/>
      <c r="C832" s="238" t="s">
        <v>468</v>
      </c>
      <c r="D832" s="238"/>
      <c r="E832" s="238"/>
      <c r="F832" s="240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</row>
    <row r="833" ht="15.75" customHeight="1">
      <c r="A833" s="238"/>
      <c r="B833" s="239"/>
      <c r="C833" s="238" t="s">
        <v>468</v>
      </c>
      <c r="D833" s="238"/>
      <c r="E833" s="238"/>
      <c r="F833" s="240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</row>
    <row r="834" ht="15.75" customHeight="1">
      <c r="A834" s="238"/>
      <c r="B834" s="239"/>
      <c r="C834" s="238" t="s">
        <v>468</v>
      </c>
      <c r="D834" s="238"/>
      <c r="E834" s="238"/>
      <c r="F834" s="240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</row>
    <row r="835" ht="15.75" customHeight="1">
      <c r="A835" s="238"/>
      <c r="B835" s="239"/>
      <c r="C835" s="238" t="s">
        <v>468</v>
      </c>
      <c r="D835" s="238"/>
      <c r="E835" s="238"/>
      <c r="F835" s="240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</row>
    <row r="836" ht="15.75" customHeight="1">
      <c r="A836" s="238"/>
      <c r="B836" s="239"/>
      <c r="C836" s="238" t="s">
        <v>468</v>
      </c>
      <c r="D836" s="238"/>
      <c r="E836" s="238"/>
      <c r="F836" s="240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</row>
    <row r="837" ht="15.75" customHeight="1">
      <c r="A837" s="238"/>
      <c r="B837" s="239"/>
      <c r="C837" s="238" t="s">
        <v>468</v>
      </c>
      <c r="D837" s="238"/>
      <c r="E837" s="238"/>
      <c r="F837" s="240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</row>
    <row r="838" ht="15.75" customHeight="1">
      <c r="A838" s="238"/>
      <c r="B838" s="239"/>
      <c r="C838" s="238" t="s">
        <v>468</v>
      </c>
      <c r="D838" s="238"/>
      <c r="E838" s="238"/>
      <c r="F838" s="240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</row>
    <row r="839" ht="15.75" customHeight="1">
      <c r="A839" s="238"/>
      <c r="B839" s="239"/>
      <c r="C839" s="238" t="s">
        <v>468</v>
      </c>
      <c r="D839" s="238"/>
      <c r="E839" s="238"/>
      <c r="F839" s="240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</row>
    <row r="840" ht="15.75" customHeight="1">
      <c r="A840" s="238"/>
      <c r="B840" s="239"/>
      <c r="C840" s="238" t="s">
        <v>468</v>
      </c>
      <c r="D840" s="238"/>
      <c r="E840" s="238"/>
      <c r="F840" s="240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</row>
    <row r="841" ht="15.75" customHeight="1">
      <c r="A841" s="238"/>
      <c r="B841" s="239"/>
      <c r="C841" s="238" t="s">
        <v>468</v>
      </c>
      <c r="D841" s="238"/>
      <c r="E841" s="238"/>
      <c r="F841" s="240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</row>
    <row r="842" ht="15.75" customHeight="1">
      <c r="A842" s="238"/>
      <c r="B842" s="239"/>
      <c r="C842" s="238" t="s">
        <v>468</v>
      </c>
      <c r="D842" s="238"/>
      <c r="E842" s="238"/>
      <c r="F842" s="240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</row>
    <row r="843" ht="15.75" customHeight="1">
      <c r="A843" s="238"/>
      <c r="B843" s="239"/>
      <c r="C843" s="238" t="s">
        <v>468</v>
      </c>
      <c r="D843" s="238"/>
      <c r="E843" s="238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</row>
    <row r="844" ht="15.75" customHeight="1">
      <c r="A844" s="238"/>
      <c r="B844" s="239"/>
      <c r="C844" s="238" t="s">
        <v>468</v>
      </c>
      <c r="D844" s="238"/>
      <c r="E844" s="238"/>
      <c r="F844" s="240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</row>
    <row r="845" ht="15.75" customHeight="1">
      <c r="A845" s="238"/>
      <c r="B845" s="239"/>
      <c r="C845" s="238" t="s">
        <v>468</v>
      </c>
      <c r="D845" s="238"/>
      <c r="E845" s="238"/>
      <c r="F845" s="240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</row>
    <row r="846" ht="15.75" customHeight="1">
      <c r="A846" s="238"/>
      <c r="B846" s="239"/>
      <c r="C846" s="238" t="s">
        <v>468</v>
      </c>
      <c r="D846" s="238"/>
      <c r="E846" s="238"/>
      <c r="F846" s="240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</row>
    <row r="847" ht="15.75" customHeight="1">
      <c r="A847" s="238"/>
      <c r="B847" s="239"/>
      <c r="C847" s="238" t="s">
        <v>468</v>
      </c>
      <c r="D847" s="238"/>
      <c r="E847" s="238"/>
      <c r="F847" s="240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</row>
    <row r="848" ht="15.75" customHeight="1">
      <c r="A848" s="238"/>
      <c r="B848" s="239"/>
      <c r="C848" s="238" t="s">
        <v>468</v>
      </c>
      <c r="D848" s="238"/>
      <c r="E848" s="238"/>
      <c r="F848" s="240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</row>
    <row r="849" ht="15.75" customHeight="1">
      <c r="A849" s="238"/>
      <c r="B849" s="239"/>
      <c r="C849" s="238" t="s">
        <v>468</v>
      </c>
      <c r="D849" s="238"/>
      <c r="E849" s="238"/>
      <c r="F849" s="240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</row>
    <row r="850" ht="15.75" customHeight="1">
      <c r="A850" s="238"/>
      <c r="B850" s="239"/>
      <c r="C850" s="238" t="s">
        <v>468</v>
      </c>
      <c r="D850" s="238"/>
      <c r="E850" s="238"/>
      <c r="F850" s="240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</row>
    <row r="851" ht="15.75" customHeight="1">
      <c r="A851" s="238"/>
      <c r="B851" s="239"/>
      <c r="C851" s="238" t="s">
        <v>468</v>
      </c>
      <c r="D851" s="238"/>
      <c r="E851" s="238"/>
      <c r="F851" s="240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</row>
    <row r="852" ht="15.75" customHeight="1">
      <c r="A852" s="238"/>
      <c r="B852" s="239"/>
      <c r="C852" s="238" t="s">
        <v>468</v>
      </c>
      <c r="D852" s="238"/>
      <c r="E852" s="238"/>
      <c r="F852" s="240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</row>
    <row r="853" ht="15.75" customHeight="1">
      <c r="A853" s="238"/>
      <c r="B853" s="239"/>
      <c r="C853" s="238" t="s">
        <v>468</v>
      </c>
      <c r="D853" s="238"/>
      <c r="E853" s="238"/>
      <c r="F853" s="240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</row>
    <row r="854" ht="15.75" customHeight="1">
      <c r="A854" s="238"/>
      <c r="B854" s="239"/>
      <c r="C854" s="238" t="s">
        <v>468</v>
      </c>
      <c r="D854" s="238"/>
      <c r="E854" s="238"/>
      <c r="F854" s="240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</row>
    <row r="855" ht="15.75" customHeight="1">
      <c r="A855" s="238"/>
      <c r="B855" s="239"/>
      <c r="C855" s="238" t="s">
        <v>468</v>
      </c>
      <c r="D855" s="238"/>
      <c r="E855" s="238"/>
      <c r="F855" s="240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</row>
    <row r="856" ht="15.75" customHeight="1">
      <c r="A856" s="238"/>
      <c r="B856" s="239"/>
      <c r="C856" s="238" t="s">
        <v>468</v>
      </c>
      <c r="D856" s="238"/>
      <c r="E856" s="238"/>
      <c r="F856" s="240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</row>
    <row r="857" ht="15.75" customHeight="1">
      <c r="A857" s="238"/>
      <c r="B857" s="239"/>
      <c r="C857" s="238" t="s">
        <v>468</v>
      </c>
      <c r="D857" s="238"/>
      <c r="E857" s="238"/>
      <c r="F857" s="240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</row>
    <row r="858" ht="15.75" customHeight="1">
      <c r="A858" s="238"/>
      <c r="B858" s="239"/>
      <c r="C858" s="238" t="s">
        <v>468</v>
      </c>
      <c r="D858" s="238"/>
      <c r="E858" s="238"/>
      <c r="F858" s="240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</row>
    <row r="859" ht="15.75" customHeight="1">
      <c r="A859" s="238"/>
      <c r="B859" s="239"/>
      <c r="C859" s="238" t="s">
        <v>468</v>
      </c>
      <c r="D859" s="238"/>
      <c r="E859" s="238"/>
      <c r="F859" s="240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</row>
    <row r="860" ht="15.75" customHeight="1">
      <c r="A860" s="238"/>
      <c r="B860" s="239"/>
      <c r="C860" s="238" t="s">
        <v>468</v>
      </c>
      <c r="D860" s="238"/>
      <c r="E860" s="238"/>
      <c r="F860" s="240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</row>
    <row r="861" ht="15.75" customHeight="1">
      <c r="A861" s="238"/>
      <c r="B861" s="239"/>
      <c r="C861" s="238" t="s">
        <v>468</v>
      </c>
      <c r="D861" s="238"/>
      <c r="E861" s="238"/>
      <c r="F861" s="240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</row>
    <row r="862" ht="15.75" customHeight="1">
      <c r="A862" s="238"/>
      <c r="B862" s="239"/>
      <c r="C862" s="238" t="s">
        <v>468</v>
      </c>
      <c r="D862" s="238"/>
      <c r="E862" s="238"/>
      <c r="F862" s="240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</row>
    <row r="863" ht="15.75" customHeight="1">
      <c r="A863" s="238"/>
      <c r="B863" s="239"/>
      <c r="C863" s="238" t="s">
        <v>468</v>
      </c>
      <c r="D863" s="238"/>
      <c r="E863" s="238"/>
      <c r="F863" s="240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</row>
    <row r="864" ht="15.75" customHeight="1">
      <c r="A864" s="238"/>
      <c r="B864" s="239"/>
      <c r="C864" s="238" t="s">
        <v>468</v>
      </c>
      <c r="D864" s="238"/>
      <c r="E864" s="238"/>
      <c r="F864" s="240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</row>
    <row r="865" ht="15.75" customHeight="1">
      <c r="A865" s="238"/>
      <c r="B865" s="239"/>
      <c r="C865" s="238" t="s">
        <v>468</v>
      </c>
      <c r="D865" s="238"/>
      <c r="E865" s="238"/>
      <c r="F865" s="240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</row>
    <row r="866" ht="15.75" customHeight="1">
      <c r="A866" s="238"/>
      <c r="B866" s="239"/>
      <c r="C866" s="238" t="s">
        <v>468</v>
      </c>
      <c r="D866" s="238"/>
      <c r="E866" s="238"/>
      <c r="F866" s="240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</row>
    <row r="867" ht="15.75" customHeight="1">
      <c r="A867" s="238"/>
      <c r="B867" s="239"/>
      <c r="C867" s="238" t="s">
        <v>468</v>
      </c>
      <c r="D867" s="238"/>
      <c r="E867" s="238"/>
      <c r="F867" s="240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</row>
    <row r="868" ht="15.75" customHeight="1">
      <c r="A868" s="238"/>
      <c r="B868" s="239"/>
      <c r="C868" s="238" t="s">
        <v>468</v>
      </c>
      <c r="D868" s="238"/>
      <c r="E868" s="238"/>
      <c r="F868" s="240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</row>
    <row r="869" ht="15.75" customHeight="1">
      <c r="A869" s="238"/>
      <c r="B869" s="239"/>
      <c r="C869" s="238" t="s">
        <v>468</v>
      </c>
      <c r="D869" s="238"/>
      <c r="E869" s="238"/>
      <c r="F869" s="240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</row>
    <row r="870" ht="15.75" customHeight="1">
      <c r="A870" s="238"/>
      <c r="B870" s="239"/>
      <c r="C870" s="238" t="s">
        <v>468</v>
      </c>
      <c r="D870" s="238"/>
      <c r="E870" s="238"/>
      <c r="F870" s="240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</row>
    <row r="871" ht="15.75" customHeight="1">
      <c r="A871" s="238"/>
      <c r="B871" s="239"/>
      <c r="C871" s="238" t="s">
        <v>468</v>
      </c>
      <c r="D871" s="238"/>
      <c r="E871" s="238"/>
      <c r="F871" s="240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</row>
    <row r="872" ht="15.75" customHeight="1">
      <c r="A872" s="238"/>
      <c r="B872" s="239"/>
      <c r="C872" s="238" t="s">
        <v>468</v>
      </c>
      <c r="D872" s="238"/>
      <c r="E872" s="238"/>
      <c r="F872" s="240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</row>
    <row r="873" ht="15.75" customHeight="1">
      <c r="A873" s="238"/>
      <c r="B873" s="239"/>
      <c r="C873" s="238" t="s">
        <v>468</v>
      </c>
      <c r="D873" s="238"/>
      <c r="E873" s="238"/>
      <c r="F873" s="240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</row>
    <row r="874" ht="15.75" customHeight="1">
      <c r="A874" s="238"/>
      <c r="B874" s="239"/>
      <c r="C874" s="238" t="s">
        <v>468</v>
      </c>
      <c r="D874" s="238"/>
      <c r="E874" s="238"/>
      <c r="F874" s="240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</row>
    <row r="875" ht="15.75" customHeight="1">
      <c r="A875" s="238"/>
      <c r="B875" s="239"/>
      <c r="C875" s="238" t="s">
        <v>468</v>
      </c>
      <c r="D875" s="238"/>
      <c r="E875" s="238"/>
      <c r="F875" s="240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</row>
    <row r="876" ht="15.75" customHeight="1">
      <c r="A876" s="238"/>
      <c r="B876" s="239"/>
      <c r="C876" s="238" t="s">
        <v>468</v>
      </c>
      <c r="D876" s="238"/>
      <c r="E876" s="238"/>
      <c r="F876" s="240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</row>
    <row r="877" ht="15.75" customHeight="1">
      <c r="A877" s="238"/>
      <c r="B877" s="239"/>
      <c r="C877" s="238" t="s">
        <v>468</v>
      </c>
      <c r="D877" s="238"/>
      <c r="E877" s="238"/>
      <c r="F877" s="240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</row>
    <row r="878" ht="15.75" customHeight="1">
      <c r="A878" s="238"/>
      <c r="B878" s="239"/>
      <c r="C878" s="238" t="s">
        <v>468</v>
      </c>
      <c r="D878" s="238"/>
      <c r="E878" s="238"/>
      <c r="F878" s="240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</row>
    <row r="879" ht="15.75" customHeight="1">
      <c r="A879" s="238"/>
      <c r="B879" s="239"/>
      <c r="C879" s="238" t="s">
        <v>468</v>
      </c>
      <c r="D879" s="238"/>
      <c r="E879" s="238"/>
      <c r="F879" s="240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</row>
    <row r="880" ht="15.75" customHeight="1">
      <c r="A880" s="238"/>
      <c r="B880" s="239"/>
      <c r="C880" s="238" t="s">
        <v>468</v>
      </c>
      <c r="D880" s="238"/>
      <c r="E880" s="238"/>
      <c r="F880" s="240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</row>
    <row r="881" ht="15.75" customHeight="1">
      <c r="A881" s="238"/>
      <c r="B881" s="239"/>
      <c r="C881" s="238" t="s">
        <v>468</v>
      </c>
      <c r="D881" s="238"/>
      <c r="E881" s="238"/>
      <c r="F881" s="240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</row>
    <row r="882" ht="15.75" customHeight="1">
      <c r="A882" s="238"/>
      <c r="B882" s="239"/>
      <c r="C882" s="238" t="s">
        <v>468</v>
      </c>
      <c r="D882" s="238"/>
      <c r="E882" s="238"/>
      <c r="F882" s="240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</row>
    <row r="883" ht="15.75" customHeight="1">
      <c r="A883" s="238"/>
      <c r="B883" s="239"/>
      <c r="C883" s="238" t="s">
        <v>468</v>
      </c>
      <c r="D883" s="238"/>
      <c r="E883" s="238"/>
      <c r="F883" s="240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</row>
    <row r="884" ht="15.75" customHeight="1">
      <c r="A884" s="238"/>
      <c r="B884" s="239"/>
      <c r="C884" s="238" t="s">
        <v>468</v>
      </c>
      <c r="D884" s="238"/>
      <c r="E884" s="238"/>
      <c r="F884" s="240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</row>
    <row r="885" ht="15.75" customHeight="1">
      <c r="A885" s="238"/>
      <c r="B885" s="239"/>
      <c r="C885" s="238" t="s">
        <v>468</v>
      </c>
      <c r="D885" s="238"/>
      <c r="E885" s="238"/>
      <c r="F885" s="240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</row>
    <row r="886" ht="15.75" customHeight="1">
      <c r="A886" s="238"/>
      <c r="B886" s="239"/>
      <c r="C886" s="238" t="s">
        <v>468</v>
      </c>
      <c r="D886" s="238"/>
      <c r="E886" s="238"/>
      <c r="F886" s="240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</row>
    <row r="887" ht="15.75" customHeight="1">
      <c r="A887" s="238"/>
      <c r="B887" s="239"/>
      <c r="C887" s="238" t="s">
        <v>468</v>
      </c>
      <c r="D887" s="238"/>
      <c r="E887" s="238"/>
      <c r="F887" s="240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</row>
    <row r="888" ht="15.75" customHeight="1">
      <c r="A888" s="238"/>
      <c r="B888" s="239"/>
      <c r="C888" s="238" t="s">
        <v>468</v>
      </c>
      <c r="D888" s="238"/>
      <c r="E888" s="238"/>
      <c r="F888" s="240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</row>
    <row r="889" ht="15.75" customHeight="1">
      <c r="A889" s="238"/>
      <c r="B889" s="239"/>
      <c r="C889" s="238" t="s">
        <v>468</v>
      </c>
      <c r="D889" s="238"/>
      <c r="E889" s="238"/>
      <c r="F889" s="240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</row>
    <row r="890" ht="15.75" customHeight="1">
      <c r="A890" s="238"/>
      <c r="B890" s="239"/>
      <c r="C890" s="238" t="s">
        <v>468</v>
      </c>
      <c r="D890" s="238"/>
      <c r="E890" s="238"/>
      <c r="F890" s="240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</row>
    <row r="891" ht="15.75" customHeight="1">
      <c r="A891" s="238"/>
      <c r="B891" s="239"/>
      <c r="C891" s="238" t="s">
        <v>468</v>
      </c>
      <c r="D891" s="238"/>
      <c r="E891" s="238"/>
      <c r="F891" s="240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</row>
    <row r="892" ht="15.75" customHeight="1">
      <c r="A892" s="238"/>
      <c r="B892" s="239"/>
      <c r="C892" s="238" t="s">
        <v>468</v>
      </c>
      <c r="D892" s="238"/>
      <c r="E892" s="238"/>
      <c r="F892" s="240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</row>
    <row r="893" ht="15.75" customHeight="1">
      <c r="A893" s="238"/>
      <c r="B893" s="239"/>
      <c r="C893" s="238" t="s">
        <v>468</v>
      </c>
      <c r="D893" s="238"/>
      <c r="E893" s="238"/>
      <c r="F893" s="240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</row>
    <row r="894" ht="15.75" customHeight="1">
      <c r="A894" s="238"/>
      <c r="B894" s="239"/>
      <c r="C894" s="238" t="s">
        <v>468</v>
      </c>
      <c r="D894" s="238"/>
      <c r="E894" s="238"/>
      <c r="F894" s="240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</row>
    <row r="895" ht="15.75" customHeight="1">
      <c r="A895" s="238"/>
      <c r="B895" s="239"/>
      <c r="C895" s="238" t="s">
        <v>468</v>
      </c>
      <c r="D895" s="238"/>
      <c r="E895" s="238"/>
      <c r="F895" s="240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</row>
    <row r="896" ht="15.75" customHeight="1">
      <c r="A896" s="238"/>
      <c r="B896" s="239"/>
      <c r="C896" s="238" t="s">
        <v>468</v>
      </c>
      <c r="D896" s="238"/>
      <c r="E896" s="238"/>
      <c r="F896" s="240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</row>
    <row r="897" ht="15.75" customHeight="1">
      <c r="A897" s="238"/>
      <c r="B897" s="239"/>
      <c r="C897" s="238" t="s">
        <v>468</v>
      </c>
      <c r="D897" s="238"/>
      <c r="E897" s="238"/>
      <c r="F897" s="240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</row>
    <row r="898" ht="15.75" customHeight="1">
      <c r="A898" s="238"/>
      <c r="B898" s="239"/>
      <c r="C898" s="238" t="s">
        <v>468</v>
      </c>
      <c r="D898" s="238"/>
      <c r="E898" s="238"/>
      <c r="F898" s="240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</row>
    <row r="899" ht="15.75" customHeight="1">
      <c r="A899" s="238"/>
      <c r="B899" s="239"/>
      <c r="C899" s="238" t="s">
        <v>468</v>
      </c>
      <c r="D899" s="238"/>
      <c r="E899" s="238"/>
      <c r="F899" s="240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</row>
    <row r="900" ht="15.75" customHeight="1">
      <c r="A900" s="238"/>
      <c r="B900" s="239"/>
      <c r="C900" s="238" t="s">
        <v>468</v>
      </c>
      <c r="D900" s="238"/>
      <c r="E900" s="238"/>
      <c r="F900" s="240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</row>
    <row r="901" ht="15.75" customHeight="1">
      <c r="A901" s="238"/>
      <c r="B901" s="239"/>
      <c r="C901" s="238" t="s">
        <v>468</v>
      </c>
      <c r="D901" s="238"/>
      <c r="E901" s="238"/>
      <c r="F901" s="240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</row>
    <row r="902" ht="15.75" customHeight="1">
      <c r="A902" s="238"/>
      <c r="B902" s="239"/>
      <c r="C902" s="238" t="s">
        <v>468</v>
      </c>
      <c r="D902" s="238"/>
      <c r="E902" s="238"/>
      <c r="F902" s="240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</row>
    <row r="903" ht="15.75" customHeight="1">
      <c r="A903" s="238"/>
      <c r="B903" s="239"/>
      <c r="C903" s="238" t="s">
        <v>468</v>
      </c>
      <c r="D903" s="238"/>
      <c r="E903" s="238"/>
      <c r="F903" s="240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</row>
    <row r="904" ht="15.75" customHeight="1">
      <c r="A904" s="238"/>
      <c r="B904" s="239"/>
      <c r="C904" s="238" t="s">
        <v>468</v>
      </c>
      <c r="D904" s="238"/>
      <c r="E904" s="238"/>
      <c r="F904" s="240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</row>
    <row r="905" ht="15.75" customHeight="1">
      <c r="A905" s="238"/>
      <c r="B905" s="239"/>
      <c r="C905" s="238" t="s">
        <v>468</v>
      </c>
      <c r="D905" s="238"/>
      <c r="E905" s="238"/>
      <c r="F905" s="240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</row>
    <row r="906" ht="15.75" customHeight="1">
      <c r="A906" s="238"/>
      <c r="B906" s="239"/>
      <c r="C906" s="238" t="s">
        <v>468</v>
      </c>
      <c r="D906" s="238"/>
      <c r="E906" s="238"/>
      <c r="F906" s="240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</row>
    <row r="907" ht="15.75" customHeight="1">
      <c r="A907" s="238"/>
      <c r="B907" s="239"/>
      <c r="C907" s="238" t="s">
        <v>468</v>
      </c>
      <c r="D907" s="238"/>
      <c r="E907" s="238"/>
      <c r="F907" s="240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</row>
    <row r="908" ht="15.75" customHeight="1">
      <c r="A908" s="238"/>
      <c r="B908" s="239"/>
      <c r="C908" s="238" t="s">
        <v>468</v>
      </c>
      <c r="D908" s="238"/>
      <c r="E908" s="238"/>
      <c r="F908" s="240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</row>
    <row r="909" ht="15.75" customHeight="1">
      <c r="A909" s="238"/>
      <c r="B909" s="239"/>
      <c r="C909" s="238" t="s">
        <v>468</v>
      </c>
      <c r="D909" s="238"/>
      <c r="E909" s="238"/>
      <c r="F909" s="240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</row>
    <row r="910" ht="15.75" customHeight="1">
      <c r="A910" s="238"/>
      <c r="B910" s="239"/>
      <c r="C910" s="238" t="s">
        <v>468</v>
      </c>
      <c r="D910" s="238"/>
      <c r="E910" s="238"/>
      <c r="F910" s="240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</row>
    <row r="911" ht="15.75" customHeight="1">
      <c r="A911" s="238"/>
      <c r="B911" s="239"/>
      <c r="C911" s="238" t="s">
        <v>468</v>
      </c>
      <c r="D911" s="238"/>
      <c r="E911" s="238"/>
      <c r="F911" s="240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</row>
    <row r="912" ht="15.75" customHeight="1">
      <c r="A912" s="238"/>
      <c r="B912" s="239"/>
      <c r="C912" s="238" t="s">
        <v>468</v>
      </c>
      <c r="D912" s="238"/>
      <c r="E912" s="238"/>
      <c r="F912" s="240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</row>
    <row r="913" ht="15.75" customHeight="1">
      <c r="A913" s="238"/>
      <c r="B913" s="239"/>
      <c r="C913" s="238" t="s">
        <v>468</v>
      </c>
      <c r="D913" s="238"/>
      <c r="E913" s="238"/>
      <c r="F913" s="240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</row>
    <row r="914" ht="15.75" customHeight="1">
      <c r="A914" s="238"/>
      <c r="B914" s="239"/>
      <c r="C914" s="238" t="s">
        <v>468</v>
      </c>
      <c r="D914" s="238"/>
      <c r="E914" s="238"/>
      <c r="F914" s="240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</row>
    <row r="915" ht="15.75" customHeight="1">
      <c r="A915" s="238"/>
      <c r="B915" s="239"/>
      <c r="C915" s="238" t="s">
        <v>468</v>
      </c>
      <c r="D915" s="238"/>
      <c r="E915" s="238"/>
      <c r="F915" s="240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</row>
    <row r="916" ht="15.75" customHeight="1">
      <c r="A916" s="238"/>
      <c r="B916" s="239"/>
      <c r="C916" s="238" t="s">
        <v>468</v>
      </c>
      <c r="D916" s="238"/>
      <c r="E916" s="238"/>
      <c r="F916" s="240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</row>
    <row r="917" ht="15.75" customHeight="1">
      <c r="A917" s="238"/>
      <c r="B917" s="239"/>
      <c r="C917" s="238" t="s">
        <v>468</v>
      </c>
      <c r="D917" s="238"/>
      <c r="E917" s="238"/>
      <c r="F917" s="240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</row>
    <row r="918" ht="15.75" customHeight="1">
      <c r="A918" s="238"/>
      <c r="B918" s="239"/>
      <c r="C918" s="238" t="s">
        <v>468</v>
      </c>
      <c r="D918" s="238"/>
      <c r="E918" s="238"/>
      <c r="F918" s="240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</row>
    <row r="919" ht="15.75" customHeight="1">
      <c r="A919" s="238"/>
      <c r="B919" s="239"/>
      <c r="C919" s="238" t="s">
        <v>468</v>
      </c>
      <c r="D919" s="238"/>
      <c r="E919" s="238"/>
      <c r="F919" s="240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</row>
    <row r="920" ht="15.75" customHeight="1">
      <c r="A920" s="238"/>
      <c r="B920" s="239"/>
      <c r="C920" s="238" t="s">
        <v>468</v>
      </c>
      <c r="D920" s="238"/>
      <c r="E920" s="238"/>
      <c r="F920" s="240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</row>
    <row r="921" ht="15.75" customHeight="1">
      <c r="A921" s="238"/>
      <c r="B921" s="239"/>
      <c r="C921" s="238" t="s">
        <v>468</v>
      </c>
      <c r="D921" s="238"/>
      <c r="E921" s="238"/>
      <c r="F921" s="240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</row>
    <row r="922" ht="15.75" customHeight="1">
      <c r="A922" s="238"/>
      <c r="B922" s="239"/>
      <c r="C922" s="238" t="s">
        <v>468</v>
      </c>
      <c r="D922" s="238"/>
      <c r="E922" s="238"/>
      <c r="F922" s="240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</row>
    <row r="923" ht="15.75" customHeight="1">
      <c r="A923" s="238"/>
      <c r="B923" s="239"/>
      <c r="C923" s="238" t="s">
        <v>468</v>
      </c>
      <c r="D923" s="238"/>
      <c r="E923" s="238"/>
      <c r="F923" s="240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</row>
    <row r="924" ht="15.75" customHeight="1">
      <c r="A924" s="238"/>
      <c r="B924" s="239"/>
      <c r="C924" s="238" t="s">
        <v>468</v>
      </c>
      <c r="D924" s="238"/>
      <c r="E924" s="238"/>
      <c r="F924" s="240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</row>
    <row r="925" ht="15.75" customHeight="1">
      <c r="A925" s="238"/>
      <c r="B925" s="239"/>
      <c r="C925" s="238" t="s">
        <v>468</v>
      </c>
      <c r="D925" s="238"/>
      <c r="E925" s="238"/>
      <c r="F925" s="240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</row>
    <row r="926" ht="15.75" customHeight="1">
      <c r="A926" s="238"/>
      <c r="B926" s="239"/>
      <c r="C926" s="238" t="s">
        <v>468</v>
      </c>
      <c r="D926" s="238"/>
      <c r="E926" s="238"/>
      <c r="F926" s="240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</row>
    <row r="927" ht="15.75" customHeight="1">
      <c r="A927" s="238"/>
      <c r="B927" s="239"/>
      <c r="C927" s="238" t="s">
        <v>468</v>
      </c>
      <c r="D927" s="238"/>
      <c r="E927" s="238"/>
      <c r="F927" s="240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</row>
    <row r="928" ht="15.75" customHeight="1">
      <c r="A928" s="238"/>
      <c r="B928" s="239"/>
      <c r="C928" s="238" t="s">
        <v>468</v>
      </c>
      <c r="D928" s="238"/>
      <c r="E928" s="238"/>
      <c r="F928" s="240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</row>
    <row r="929" ht="15.75" customHeight="1">
      <c r="A929" s="238"/>
      <c r="B929" s="239"/>
      <c r="C929" s="238" t="s">
        <v>468</v>
      </c>
      <c r="D929" s="238"/>
      <c r="E929" s="238"/>
      <c r="F929" s="240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</row>
    <row r="930" ht="15.75" customHeight="1">
      <c r="A930" s="238"/>
      <c r="B930" s="239"/>
      <c r="C930" s="238" t="s">
        <v>468</v>
      </c>
      <c r="D930" s="238"/>
      <c r="E930" s="238"/>
      <c r="F930" s="240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</row>
    <row r="931" ht="15.75" customHeight="1">
      <c r="A931" s="238"/>
      <c r="B931" s="239"/>
      <c r="C931" s="238" t="s">
        <v>468</v>
      </c>
      <c r="D931" s="238"/>
      <c r="E931" s="238"/>
      <c r="F931" s="240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</row>
    <row r="932" ht="15.75" customHeight="1">
      <c r="A932" s="238"/>
      <c r="B932" s="239"/>
      <c r="C932" s="238" t="s">
        <v>468</v>
      </c>
      <c r="D932" s="238"/>
      <c r="E932" s="238"/>
      <c r="F932" s="240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</row>
    <row r="933" ht="15.75" customHeight="1">
      <c r="A933" s="238"/>
      <c r="B933" s="239"/>
      <c r="C933" s="238" t="s">
        <v>468</v>
      </c>
      <c r="D933" s="238"/>
      <c r="E933" s="238"/>
      <c r="F933" s="240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</row>
    <row r="934" ht="15.75" customHeight="1">
      <c r="A934" s="238"/>
      <c r="B934" s="239"/>
      <c r="C934" s="238" t="s">
        <v>468</v>
      </c>
      <c r="D934" s="238"/>
      <c r="E934" s="238"/>
      <c r="F934" s="240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</row>
    <row r="935" ht="15.75" customHeight="1">
      <c r="A935" s="238"/>
      <c r="B935" s="239"/>
      <c r="C935" s="238" t="s">
        <v>468</v>
      </c>
      <c r="D935" s="238"/>
      <c r="E935" s="238"/>
      <c r="F935" s="240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</row>
    <row r="936" ht="15.75" customHeight="1">
      <c r="A936" s="238"/>
      <c r="B936" s="239"/>
      <c r="C936" s="238" t="s">
        <v>468</v>
      </c>
      <c r="D936" s="238"/>
      <c r="E936" s="238"/>
      <c r="F936" s="240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</row>
    <row r="937" ht="15.75" customHeight="1">
      <c r="A937" s="238"/>
      <c r="B937" s="239"/>
      <c r="C937" s="238" t="s">
        <v>468</v>
      </c>
      <c r="D937" s="238"/>
      <c r="E937" s="238"/>
      <c r="F937" s="240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</row>
    <row r="938" ht="15.75" customHeight="1">
      <c r="A938" s="238"/>
      <c r="B938" s="239"/>
      <c r="C938" s="238" t="s">
        <v>468</v>
      </c>
      <c r="D938" s="238"/>
      <c r="E938" s="238"/>
      <c r="F938" s="240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</row>
    <row r="939" ht="15.75" customHeight="1">
      <c r="A939" s="238"/>
      <c r="B939" s="239"/>
      <c r="C939" s="238" t="s">
        <v>468</v>
      </c>
      <c r="D939" s="238"/>
      <c r="E939" s="238"/>
      <c r="F939" s="240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</row>
    <row r="940" ht="15.75" customHeight="1">
      <c r="A940" s="238"/>
      <c r="B940" s="239"/>
      <c r="C940" s="238" t="s">
        <v>468</v>
      </c>
      <c r="D940" s="238"/>
      <c r="E940" s="238"/>
      <c r="F940" s="240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</row>
    <row r="941" ht="15.75" customHeight="1">
      <c r="A941" s="238"/>
      <c r="B941" s="239"/>
      <c r="C941" s="238" t="s">
        <v>468</v>
      </c>
      <c r="D941" s="238"/>
      <c r="E941" s="238"/>
      <c r="F941" s="240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</row>
    <row r="942" ht="15.75" customHeight="1">
      <c r="A942" s="238"/>
      <c r="B942" s="239"/>
      <c r="C942" s="238" t="s">
        <v>468</v>
      </c>
      <c r="D942" s="238"/>
      <c r="E942" s="238"/>
      <c r="F942" s="240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</row>
    <row r="943" ht="15.75" customHeight="1">
      <c r="A943" s="238"/>
      <c r="B943" s="239"/>
      <c r="C943" s="238" t="s">
        <v>468</v>
      </c>
      <c r="D943" s="238"/>
      <c r="E943" s="238"/>
      <c r="F943" s="240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</row>
    <row r="944" ht="15.75" customHeight="1">
      <c r="A944" s="238"/>
      <c r="B944" s="239"/>
      <c r="C944" s="238" t="s">
        <v>468</v>
      </c>
      <c r="D944" s="238"/>
      <c r="E944" s="238"/>
      <c r="F944" s="240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</row>
    <row r="945" ht="15.75" customHeight="1">
      <c r="A945" s="238"/>
      <c r="B945" s="239"/>
      <c r="C945" s="238" t="s">
        <v>468</v>
      </c>
      <c r="D945" s="238"/>
      <c r="E945" s="238"/>
      <c r="F945" s="240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</row>
    <row r="946" ht="15.75" customHeight="1">
      <c r="A946" s="238"/>
      <c r="B946" s="239"/>
      <c r="C946" s="238" t="s">
        <v>468</v>
      </c>
      <c r="D946" s="238"/>
      <c r="E946" s="238"/>
      <c r="F946" s="240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</row>
    <row r="947" ht="15.75" customHeight="1">
      <c r="A947" s="238"/>
      <c r="B947" s="239"/>
      <c r="C947" s="238" t="s">
        <v>468</v>
      </c>
      <c r="D947" s="238"/>
      <c r="E947" s="238"/>
      <c r="F947" s="240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</row>
    <row r="948" ht="15.75" customHeight="1">
      <c r="A948" s="238"/>
      <c r="B948" s="239"/>
      <c r="C948" s="238" t="s">
        <v>468</v>
      </c>
      <c r="D948" s="238"/>
      <c r="E948" s="238"/>
      <c r="F948" s="240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</row>
    <row r="949" ht="15.75" customHeight="1">
      <c r="A949" s="238"/>
      <c r="B949" s="239"/>
      <c r="C949" s="238" t="s">
        <v>468</v>
      </c>
      <c r="D949" s="238"/>
      <c r="E949" s="238"/>
      <c r="F949" s="240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</row>
    <row r="950" ht="15.75" customHeight="1">
      <c r="A950" s="238"/>
      <c r="B950" s="239"/>
      <c r="C950" s="238" t="s">
        <v>468</v>
      </c>
      <c r="D950" s="238"/>
      <c r="E950" s="238"/>
      <c r="F950" s="240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</row>
    <row r="951" ht="15.75" customHeight="1">
      <c r="A951" s="238"/>
      <c r="B951" s="239"/>
      <c r="C951" s="238" t="s">
        <v>468</v>
      </c>
      <c r="D951" s="238"/>
      <c r="E951" s="238"/>
      <c r="F951" s="240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</row>
    <row r="952" ht="15.75" customHeight="1">
      <c r="A952" s="238"/>
      <c r="B952" s="239"/>
      <c r="C952" s="238" t="s">
        <v>468</v>
      </c>
      <c r="D952" s="238"/>
      <c r="E952" s="238"/>
      <c r="F952" s="240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</row>
    <row r="953" ht="15.75" customHeight="1">
      <c r="A953" s="238"/>
      <c r="B953" s="239"/>
      <c r="C953" s="238" t="s">
        <v>468</v>
      </c>
      <c r="D953" s="238"/>
      <c r="E953" s="238"/>
      <c r="F953" s="240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</row>
    <row r="954" ht="15.75" customHeight="1">
      <c r="A954" s="238"/>
      <c r="B954" s="239"/>
      <c r="C954" s="238" t="s">
        <v>468</v>
      </c>
      <c r="D954" s="238"/>
      <c r="E954" s="238"/>
      <c r="F954" s="240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</row>
    <row r="955" ht="15.75" customHeight="1">
      <c r="A955" s="238"/>
      <c r="B955" s="239"/>
      <c r="C955" s="238" t="s">
        <v>468</v>
      </c>
      <c r="D955" s="238"/>
      <c r="E955" s="238"/>
      <c r="F955" s="240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</row>
    <row r="956" ht="15.75" customHeight="1">
      <c r="A956" s="238"/>
      <c r="B956" s="239"/>
      <c r="C956" s="238" t="s">
        <v>468</v>
      </c>
      <c r="D956" s="238"/>
      <c r="E956" s="238"/>
      <c r="F956" s="240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</row>
    <row r="957" ht="15.75" customHeight="1">
      <c r="A957" s="238"/>
      <c r="B957" s="239"/>
      <c r="C957" s="238" t="s">
        <v>468</v>
      </c>
      <c r="D957" s="238"/>
      <c r="E957" s="238"/>
      <c r="F957" s="240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</row>
    <row r="958" ht="15.75" customHeight="1">
      <c r="A958" s="238"/>
      <c r="B958" s="239"/>
      <c r="C958" s="238" t="s">
        <v>468</v>
      </c>
      <c r="D958" s="238"/>
      <c r="E958" s="238"/>
      <c r="F958" s="240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</row>
    <row r="959" ht="15.75" customHeight="1">
      <c r="A959" s="238"/>
      <c r="B959" s="239"/>
      <c r="C959" s="238" t="s">
        <v>468</v>
      </c>
      <c r="D959" s="238"/>
      <c r="E959" s="238"/>
      <c r="F959" s="240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</row>
    <row r="960" ht="15.75" customHeight="1">
      <c r="A960" s="238"/>
      <c r="B960" s="239"/>
      <c r="C960" s="238" t="s">
        <v>468</v>
      </c>
      <c r="D960" s="238"/>
      <c r="E960" s="238"/>
      <c r="F960" s="240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</row>
    <row r="961" ht="15.75" customHeight="1">
      <c r="A961" s="238"/>
      <c r="B961" s="239"/>
      <c r="C961" s="238" t="s">
        <v>468</v>
      </c>
      <c r="D961" s="238"/>
      <c r="E961" s="238"/>
      <c r="F961" s="240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</row>
    <row r="962" ht="15.75" customHeight="1">
      <c r="A962" s="238"/>
      <c r="B962" s="239"/>
      <c r="C962" s="238" t="s">
        <v>468</v>
      </c>
      <c r="D962" s="238"/>
      <c r="E962" s="238"/>
      <c r="F962" s="240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</row>
    <row r="963" ht="15.75" customHeight="1">
      <c r="A963" s="238"/>
      <c r="B963" s="239"/>
      <c r="C963" s="238" t="s">
        <v>468</v>
      </c>
      <c r="D963" s="238"/>
      <c r="E963" s="238"/>
      <c r="F963" s="240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</row>
    <row r="964" ht="15.75" customHeight="1">
      <c r="A964" s="238"/>
      <c r="B964" s="239"/>
      <c r="C964" s="238" t="s">
        <v>468</v>
      </c>
      <c r="D964" s="238"/>
      <c r="E964" s="238"/>
      <c r="F964" s="240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</row>
    <row r="965" ht="15.75" customHeight="1">
      <c r="A965" s="238"/>
      <c r="B965" s="239"/>
      <c r="C965" s="238" t="s">
        <v>468</v>
      </c>
      <c r="D965" s="238"/>
      <c r="E965" s="238"/>
      <c r="F965" s="240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</row>
    <row r="966" ht="15.75" customHeight="1">
      <c r="A966" s="238"/>
      <c r="B966" s="239"/>
      <c r="C966" s="238" t="s">
        <v>468</v>
      </c>
      <c r="D966" s="238"/>
      <c r="E966" s="238"/>
      <c r="F966" s="240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</row>
    <row r="967" ht="15.75" customHeight="1">
      <c r="A967" s="238"/>
      <c r="B967" s="239"/>
      <c r="C967" s="238" t="s">
        <v>468</v>
      </c>
      <c r="D967" s="238"/>
      <c r="E967" s="238"/>
      <c r="F967" s="240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</row>
    <row r="968" ht="15.75" customHeight="1">
      <c r="A968" s="238"/>
      <c r="B968" s="239"/>
      <c r="C968" s="238" t="s">
        <v>468</v>
      </c>
      <c r="D968" s="238"/>
      <c r="E968" s="238"/>
      <c r="F968" s="240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</row>
    <row r="969" ht="15.75" customHeight="1">
      <c r="A969" s="238"/>
      <c r="B969" s="239"/>
      <c r="C969" s="238" t="s">
        <v>468</v>
      </c>
      <c r="D969" s="238"/>
      <c r="E969" s="238"/>
      <c r="F969" s="240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</row>
    <row r="970" ht="15.75" customHeight="1">
      <c r="A970" s="238"/>
      <c r="B970" s="239"/>
      <c r="C970" s="238" t="s">
        <v>468</v>
      </c>
      <c r="D970" s="238"/>
      <c r="E970" s="238"/>
      <c r="F970" s="240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</row>
    <row r="971" ht="15.75" customHeight="1">
      <c r="A971" s="238"/>
      <c r="B971" s="239"/>
      <c r="C971" s="238" t="s">
        <v>468</v>
      </c>
      <c r="D971" s="238"/>
      <c r="E971" s="238"/>
      <c r="F971" s="240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</row>
    <row r="972" ht="15.75" customHeight="1">
      <c r="A972" s="238"/>
      <c r="B972" s="239"/>
      <c r="C972" s="238" t="s">
        <v>468</v>
      </c>
      <c r="D972" s="238"/>
      <c r="E972" s="238"/>
      <c r="F972" s="240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</row>
    <row r="973" ht="15.75" customHeight="1">
      <c r="A973" s="238"/>
      <c r="B973" s="239"/>
      <c r="C973" s="238" t="s">
        <v>468</v>
      </c>
      <c r="D973" s="238"/>
      <c r="E973" s="238"/>
      <c r="F973" s="240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</row>
    <row r="974" ht="15.75" customHeight="1">
      <c r="A974" s="238"/>
      <c r="B974" s="239"/>
      <c r="C974" s="238" t="s">
        <v>468</v>
      </c>
      <c r="D974" s="238"/>
      <c r="E974" s="238"/>
      <c r="F974" s="240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</row>
    <row r="975" ht="15.75" customHeight="1">
      <c r="A975" s="238"/>
      <c r="B975" s="239"/>
      <c r="C975" s="238" t="s">
        <v>468</v>
      </c>
      <c r="D975" s="238"/>
      <c r="E975" s="238"/>
      <c r="F975" s="240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</row>
    <row r="976" ht="15.75" customHeight="1">
      <c r="A976" s="238"/>
      <c r="B976" s="239"/>
      <c r="C976" s="238" t="s">
        <v>468</v>
      </c>
      <c r="D976" s="238"/>
      <c r="E976" s="238"/>
      <c r="F976" s="240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</row>
    <row r="977" ht="15.75" customHeight="1">
      <c r="A977" s="238"/>
      <c r="B977" s="239"/>
      <c r="C977" s="238" t="s">
        <v>468</v>
      </c>
      <c r="D977" s="238"/>
      <c r="E977" s="238"/>
      <c r="F977" s="240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</row>
    <row r="978" ht="15.75" customHeight="1">
      <c r="A978" s="238"/>
      <c r="B978" s="239"/>
      <c r="C978" s="238" t="s">
        <v>468</v>
      </c>
      <c r="D978" s="238"/>
      <c r="E978" s="238"/>
      <c r="F978" s="240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</row>
    <row r="979" ht="15.75" customHeight="1">
      <c r="A979" s="238"/>
      <c r="B979" s="239"/>
      <c r="C979" s="238" t="s">
        <v>468</v>
      </c>
      <c r="D979" s="238"/>
      <c r="E979" s="238"/>
      <c r="F979" s="240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</row>
    <row r="980" ht="15.75" customHeight="1">
      <c r="A980" s="238"/>
      <c r="B980" s="239"/>
      <c r="C980" s="238" t="s">
        <v>468</v>
      </c>
      <c r="D980" s="238"/>
      <c r="E980" s="238"/>
      <c r="F980" s="240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</row>
    <row r="981" ht="15.75" customHeight="1">
      <c r="A981" s="238"/>
      <c r="B981" s="239"/>
      <c r="C981" s="238" t="s">
        <v>468</v>
      </c>
      <c r="D981" s="238"/>
      <c r="E981" s="238"/>
      <c r="F981" s="240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</row>
    <row r="982" ht="15.75" customHeight="1">
      <c r="A982" s="238"/>
      <c r="B982" s="239"/>
      <c r="C982" s="238" t="s">
        <v>468</v>
      </c>
      <c r="D982" s="238"/>
      <c r="E982" s="238"/>
      <c r="F982" s="240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</row>
    <row r="983" ht="15.75" customHeight="1">
      <c r="A983" s="238"/>
      <c r="B983" s="239"/>
      <c r="C983" s="238" t="s">
        <v>468</v>
      </c>
      <c r="D983" s="238"/>
      <c r="E983" s="238"/>
      <c r="F983" s="240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</row>
    <row r="984" ht="15.75" customHeight="1">
      <c r="A984" s="238"/>
      <c r="B984" s="239"/>
      <c r="C984" s="238" t="s">
        <v>468</v>
      </c>
      <c r="D984" s="238"/>
      <c r="E984" s="238"/>
      <c r="F984" s="240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</row>
    <row r="985" ht="15.75" customHeight="1">
      <c r="A985" s="238"/>
      <c r="B985" s="239"/>
      <c r="C985" s="238" t="s">
        <v>468</v>
      </c>
      <c r="D985" s="238"/>
      <c r="E985" s="238"/>
      <c r="F985" s="240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</row>
    <row r="986" ht="15.75" customHeight="1">
      <c r="A986" s="238"/>
      <c r="B986" s="239"/>
      <c r="C986" s="238" t="s">
        <v>468</v>
      </c>
      <c r="D986" s="238"/>
      <c r="E986" s="238"/>
      <c r="F986" s="240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</row>
    <row r="987" ht="15.75" customHeight="1">
      <c r="A987" s="238"/>
      <c r="B987" s="239"/>
      <c r="C987" s="238" t="s">
        <v>468</v>
      </c>
      <c r="D987" s="238"/>
      <c r="E987" s="238"/>
      <c r="F987" s="240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  <c r="W987" s="240"/>
      <c r="X987" s="240"/>
      <c r="Y987" s="240"/>
    </row>
    <row r="988" ht="15.75" customHeight="1">
      <c r="A988" s="238"/>
      <c r="B988" s="239"/>
      <c r="C988" s="238" t="s">
        <v>468</v>
      </c>
      <c r="D988" s="238"/>
      <c r="E988" s="238"/>
      <c r="F988" s="240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  <c r="W988" s="240"/>
      <c r="X988" s="240"/>
      <c r="Y988" s="240"/>
    </row>
    <row r="989" ht="15.75" customHeight="1">
      <c r="A989" s="238"/>
      <c r="B989" s="239"/>
      <c r="C989" s="238" t="s">
        <v>468</v>
      </c>
      <c r="D989" s="238"/>
      <c r="E989" s="238"/>
      <c r="F989" s="240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  <c r="W989" s="240"/>
      <c r="X989" s="240"/>
      <c r="Y989" s="240"/>
    </row>
    <row r="990" ht="15.75" customHeight="1">
      <c r="A990" s="238"/>
      <c r="B990" s="239"/>
      <c r="C990" s="238" t="s">
        <v>468</v>
      </c>
      <c r="D990" s="238"/>
      <c r="E990" s="238"/>
      <c r="F990" s="240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  <c r="W990" s="240"/>
      <c r="X990" s="240"/>
      <c r="Y990" s="240"/>
    </row>
    <row r="991" ht="15.75" customHeight="1">
      <c r="A991" s="238"/>
      <c r="B991" s="239"/>
      <c r="C991" s="238" t="s">
        <v>468</v>
      </c>
      <c r="D991" s="238"/>
      <c r="E991" s="238"/>
      <c r="F991" s="240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  <c r="W991" s="240"/>
      <c r="X991" s="240"/>
      <c r="Y991" s="240"/>
    </row>
    <row r="992" ht="15.75" customHeight="1">
      <c r="A992" s="238"/>
      <c r="B992" s="239"/>
      <c r="C992" s="238" t="s">
        <v>468</v>
      </c>
      <c r="D992" s="238"/>
      <c r="E992" s="238"/>
      <c r="F992" s="240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  <c r="W992" s="240"/>
      <c r="X992" s="240"/>
      <c r="Y992" s="240"/>
    </row>
    <row r="993" ht="15.75" customHeight="1">
      <c r="A993" s="238"/>
      <c r="B993" s="239"/>
      <c r="C993" s="238" t="s">
        <v>468</v>
      </c>
      <c r="D993" s="238"/>
      <c r="E993" s="238"/>
      <c r="F993" s="240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  <c r="W993" s="240"/>
      <c r="X993" s="240"/>
      <c r="Y993" s="240"/>
    </row>
    <row r="994" ht="15.75" customHeight="1">
      <c r="A994" s="238"/>
      <c r="B994" s="239"/>
      <c r="C994" s="238" t="s">
        <v>468</v>
      </c>
      <c r="D994" s="238"/>
      <c r="E994" s="238"/>
      <c r="F994" s="240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  <c r="W994" s="240"/>
      <c r="X994" s="240"/>
      <c r="Y994" s="240"/>
    </row>
    <row r="995" ht="15.75" customHeight="1">
      <c r="A995" s="238"/>
      <c r="B995" s="239"/>
      <c r="C995" s="238" t="s">
        <v>468</v>
      </c>
      <c r="D995" s="238"/>
      <c r="E995" s="238"/>
      <c r="F995" s="240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  <c r="W995" s="240"/>
      <c r="X995" s="240"/>
      <c r="Y995" s="240"/>
    </row>
    <row r="996" ht="15.75" customHeight="1">
      <c r="A996" s="238"/>
      <c r="B996" s="239"/>
      <c r="C996" s="238" t="s">
        <v>468</v>
      </c>
      <c r="D996" s="238"/>
      <c r="E996" s="238"/>
      <c r="F996" s="240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  <c r="W996" s="240"/>
      <c r="X996" s="240"/>
      <c r="Y996" s="240"/>
    </row>
    <row r="997" ht="15.75" customHeight="1">
      <c r="A997" s="238"/>
      <c r="B997" s="239"/>
      <c r="C997" s="238" t="s">
        <v>468</v>
      </c>
      <c r="D997" s="238"/>
      <c r="E997" s="238"/>
      <c r="F997" s="240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  <c r="W997" s="240"/>
      <c r="X997" s="240"/>
      <c r="Y997" s="240"/>
    </row>
    <row r="998" ht="15.75" customHeight="1">
      <c r="A998" s="238"/>
      <c r="B998" s="239"/>
      <c r="C998" s="238" t="s">
        <v>468</v>
      </c>
      <c r="D998" s="238"/>
      <c r="E998" s="238"/>
      <c r="F998" s="240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  <c r="W998" s="240"/>
      <c r="X998" s="240"/>
      <c r="Y998" s="240"/>
    </row>
    <row r="999" ht="15.75" customHeight="1">
      <c r="A999" s="238"/>
      <c r="B999" s="239"/>
      <c r="C999" s="238" t="s">
        <v>468</v>
      </c>
      <c r="D999" s="238"/>
      <c r="E999" s="238"/>
      <c r="F999" s="240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240"/>
      <c r="S999" s="240"/>
      <c r="T999" s="240"/>
      <c r="U999" s="240"/>
      <c r="V999" s="240"/>
      <c r="W999" s="240"/>
      <c r="X999" s="240"/>
      <c r="Y999" s="240"/>
    </row>
    <row r="1000" ht="15.75" customHeight="1">
      <c r="A1000" s="238"/>
      <c r="B1000" s="239"/>
      <c r="C1000" s="238" t="s">
        <v>468</v>
      </c>
      <c r="D1000" s="238"/>
      <c r="E1000" s="238"/>
      <c r="F1000" s="240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240"/>
      <c r="S1000" s="240"/>
      <c r="T1000" s="240"/>
      <c r="U1000" s="240"/>
      <c r="V1000" s="240"/>
      <c r="W1000" s="240"/>
      <c r="X1000" s="240"/>
      <c r="Y1000" s="240"/>
    </row>
    <row r="1001" ht="15.75" customHeight="1">
      <c r="A1001" s="238"/>
      <c r="B1001" s="239"/>
      <c r="C1001" s="238" t="s">
        <v>468</v>
      </c>
      <c r="D1001" s="238"/>
      <c r="E1001" s="238"/>
      <c r="F1001" s="240"/>
      <c r="G1001" s="240"/>
      <c r="H1001" s="240"/>
      <c r="I1001" s="240"/>
      <c r="J1001" s="240"/>
      <c r="K1001" s="240"/>
      <c r="L1001" s="240"/>
      <c r="M1001" s="240"/>
      <c r="N1001" s="240"/>
      <c r="O1001" s="240"/>
      <c r="P1001" s="240"/>
      <c r="Q1001" s="240"/>
      <c r="R1001" s="240"/>
      <c r="S1001" s="240"/>
      <c r="T1001" s="240"/>
      <c r="U1001" s="240"/>
      <c r="V1001" s="240"/>
      <c r="W1001" s="240"/>
      <c r="X1001" s="240"/>
      <c r="Y1001" s="240"/>
    </row>
    <row r="1002" ht="15.75" customHeight="1">
      <c r="A1002" s="238"/>
      <c r="B1002" s="239"/>
      <c r="C1002" s="238" t="s">
        <v>468</v>
      </c>
      <c r="D1002" s="238"/>
      <c r="E1002" s="238"/>
      <c r="F1002" s="240"/>
      <c r="G1002" s="240"/>
      <c r="H1002" s="240"/>
      <c r="I1002" s="240"/>
      <c r="J1002" s="240"/>
      <c r="K1002" s="240"/>
      <c r="L1002" s="240"/>
      <c r="M1002" s="240"/>
      <c r="N1002" s="240"/>
      <c r="O1002" s="240"/>
      <c r="P1002" s="240"/>
      <c r="Q1002" s="240"/>
      <c r="R1002" s="240"/>
      <c r="S1002" s="240"/>
      <c r="T1002" s="240"/>
      <c r="U1002" s="240"/>
      <c r="V1002" s="240"/>
      <c r="W1002" s="240"/>
      <c r="X1002" s="240"/>
      <c r="Y1002" s="240"/>
    </row>
    <row r="1003" ht="15.75" customHeight="1">
      <c r="A1003" s="238"/>
      <c r="B1003" s="239"/>
      <c r="C1003" s="238" t="s">
        <v>468</v>
      </c>
      <c r="D1003" s="238"/>
      <c r="E1003" s="238"/>
      <c r="F1003" s="240"/>
      <c r="G1003" s="240"/>
      <c r="H1003" s="240"/>
      <c r="I1003" s="240"/>
      <c r="J1003" s="240"/>
      <c r="K1003" s="240"/>
      <c r="L1003" s="240"/>
      <c r="M1003" s="240"/>
      <c r="N1003" s="240"/>
      <c r="O1003" s="240"/>
      <c r="P1003" s="240"/>
      <c r="Q1003" s="240"/>
      <c r="R1003" s="240"/>
      <c r="S1003" s="240"/>
      <c r="T1003" s="240"/>
      <c r="U1003" s="240"/>
      <c r="V1003" s="240"/>
      <c r="W1003" s="240"/>
      <c r="X1003" s="240"/>
      <c r="Y1003" s="240"/>
    </row>
    <row r="1004" ht="15.75" customHeight="1">
      <c r="A1004" s="238"/>
      <c r="B1004" s="239"/>
      <c r="C1004" s="238" t="s">
        <v>468</v>
      </c>
      <c r="D1004" s="238"/>
      <c r="E1004" s="238"/>
      <c r="F1004" s="240"/>
      <c r="G1004" s="240"/>
      <c r="H1004" s="240"/>
      <c r="I1004" s="240"/>
      <c r="J1004" s="240"/>
      <c r="K1004" s="240"/>
      <c r="L1004" s="240"/>
      <c r="M1004" s="240"/>
      <c r="N1004" s="240"/>
      <c r="O1004" s="240"/>
      <c r="P1004" s="240"/>
      <c r="Q1004" s="240"/>
      <c r="R1004" s="240"/>
      <c r="S1004" s="240"/>
      <c r="T1004" s="240"/>
      <c r="U1004" s="240"/>
      <c r="V1004" s="240"/>
      <c r="W1004" s="240"/>
      <c r="X1004" s="240"/>
      <c r="Y1004" s="240"/>
    </row>
    <row r="1005" ht="15.75" customHeight="1">
      <c r="A1005" s="238"/>
      <c r="B1005" s="239"/>
      <c r="C1005" s="238" t="s">
        <v>468</v>
      </c>
      <c r="D1005" s="238"/>
      <c r="E1005" s="238"/>
      <c r="F1005" s="240"/>
      <c r="G1005" s="240"/>
      <c r="H1005" s="240"/>
      <c r="I1005" s="240"/>
      <c r="J1005" s="240"/>
      <c r="K1005" s="240"/>
      <c r="L1005" s="240"/>
      <c r="M1005" s="240"/>
      <c r="N1005" s="240"/>
      <c r="O1005" s="240"/>
      <c r="P1005" s="240"/>
      <c r="Q1005" s="240"/>
      <c r="R1005" s="240"/>
      <c r="S1005" s="240"/>
      <c r="T1005" s="240"/>
      <c r="U1005" s="240"/>
      <c r="V1005" s="240"/>
      <c r="W1005" s="240"/>
      <c r="X1005" s="240"/>
      <c r="Y1005" s="240"/>
    </row>
    <row r="1006" ht="15.75" customHeight="1">
      <c r="A1006" s="238"/>
      <c r="B1006" s="239"/>
      <c r="C1006" s="238" t="s">
        <v>468</v>
      </c>
      <c r="D1006" s="238"/>
      <c r="E1006" s="238"/>
      <c r="F1006" s="240"/>
      <c r="G1006" s="240"/>
      <c r="H1006" s="240"/>
      <c r="I1006" s="240"/>
      <c r="J1006" s="240"/>
      <c r="K1006" s="240"/>
      <c r="L1006" s="240"/>
      <c r="M1006" s="240"/>
      <c r="N1006" s="240"/>
      <c r="O1006" s="240"/>
      <c r="P1006" s="240"/>
      <c r="Q1006" s="240"/>
      <c r="R1006" s="240"/>
      <c r="S1006" s="240"/>
      <c r="T1006" s="240"/>
      <c r="U1006" s="240"/>
      <c r="V1006" s="240"/>
      <c r="W1006" s="240"/>
      <c r="X1006" s="240"/>
      <c r="Y1006" s="240"/>
    </row>
    <row r="1007" ht="15.75" customHeight="1">
      <c r="A1007" s="238"/>
      <c r="B1007" s="239"/>
      <c r="C1007" s="238" t="s">
        <v>468</v>
      </c>
      <c r="D1007" s="238"/>
      <c r="E1007" s="238"/>
      <c r="F1007" s="240"/>
      <c r="G1007" s="240"/>
      <c r="H1007" s="240"/>
      <c r="I1007" s="240"/>
      <c r="J1007" s="240"/>
      <c r="K1007" s="240"/>
      <c r="L1007" s="240"/>
      <c r="M1007" s="240"/>
      <c r="N1007" s="240"/>
      <c r="O1007" s="240"/>
      <c r="P1007" s="240"/>
      <c r="Q1007" s="240"/>
      <c r="R1007" s="240"/>
      <c r="S1007" s="240"/>
      <c r="T1007" s="240"/>
      <c r="U1007" s="240"/>
      <c r="V1007" s="240"/>
      <c r="W1007" s="240"/>
      <c r="X1007" s="240"/>
      <c r="Y1007" s="240"/>
    </row>
    <row r="1008" ht="15.75" customHeight="1">
      <c r="A1008" s="238"/>
      <c r="B1008" s="239"/>
      <c r="C1008" s="238" t="s">
        <v>468</v>
      </c>
      <c r="D1008" s="238"/>
      <c r="E1008" s="238"/>
      <c r="F1008" s="240"/>
      <c r="G1008" s="240"/>
      <c r="H1008" s="240"/>
      <c r="I1008" s="240"/>
      <c r="J1008" s="240"/>
      <c r="K1008" s="240"/>
      <c r="L1008" s="240"/>
      <c r="M1008" s="240"/>
      <c r="N1008" s="240"/>
      <c r="O1008" s="240"/>
      <c r="P1008" s="240"/>
      <c r="Q1008" s="240"/>
      <c r="R1008" s="240"/>
      <c r="S1008" s="240"/>
      <c r="T1008" s="240"/>
      <c r="U1008" s="240"/>
      <c r="V1008" s="240"/>
      <c r="W1008" s="240"/>
      <c r="X1008" s="240"/>
      <c r="Y1008" s="240"/>
    </row>
    <row r="1009" ht="15.75" customHeight="1">
      <c r="A1009" s="238"/>
      <c r="B1009" s="239"/>
      <c r="C1009" s="238" t="s">
        <v>468</v>
      </c>
      <c r="D1009" s="238"/>
      <c r="E1009" s="238"/>
      <c r="F1009" s="240"/>
      <c r="G1009" s="240"/>
      <c r="H1009" s="240"/>
      <c r="I1009" s="240"/>
      <c r="J1009" s="240"/>
      <c r="K1009" s="240"/>
      <c r="L1009" s="240"/>
      <c r="M1009" s="240"/>
      <c r="N1009" s="240"/>
      <c r="O1009" s="240"/>
      <c r="P1009" s="240"/>
      <c r="Q1009" s="240"/>
      <c r="R1009" s="240"/>
      <c r="S1009" s="240"/>
      <c r="T1009" s="240"/>
      <c r="U1009" s="240"/>
      <c r="V1009" s="240"/>
      <c r="W1009" s="240"/>
      <c r="X1009" s="240"/>
      <c r="Y1009" s="240"/>
    </row>
    <row r="1010" ht="15.75" customHeight="1">
      <c r="A1010" s="238"/>
      <c r="B1010" s="239"/>
      <c r="C1010" s="238" t="s">
        <v>468</v>
      </c>
      <c r="D1010" s="238"/>
      <c r="E1010" s="238"/>
      <c r="F1010" s="240"/>
      <c r="G1010" s="240"/>
      <c r="H1010" s="240"/>
      <c r="I1010" s="240"/>
      <c r="J1010" s="240"/>
      <c r="K1010" s="240"/>
      <c r="L1010" s="240"/>
      <c r="M1010" s="240"/>
      <c r="N1010" s="240"/>
      <c r="O1010" s="240"/>
      <c r="P1010" s="240"/>
      <c r="Q1010" s="240"/>
      <c r="R1010" s="240"/>
      <c r="S1010" s="240"/>
      <c r="T1010" s="240"/>
      <c r="U1010" s="240"/>
      <c r="V1010" s="240"/>
      <c r="W1010" s="240"/>
      <c r="X1010" s="240"/>
      <c r="Y1010" s="240"/>
    </row>
    <row r="1011" ht="15.75" customHeight="1">
      <c r="A1011" s="238"/>
      <c r="B1011" s="239"/>
      <c r="C1011" s="238" t="s">
        <v>468</v>
      </c>
      <c r="D1011" s="238"/>
      <c r="E1011" s="238"/>
      <c r="F1011" s="240"/>
      <c r="G1011" s="240"/>
      <c r="H1011" s="240"/>
      <c r="I1011" s="240"/>
      <c r="J1011" s="240"/>
      <c r="K1011" s="240"/>
      <c r="L1011" s="240"/>
      <c r="M1011" s="240"/>
      <c r="N1011" s="240"/>
      <c r="O1011" s="240"/>
      <c r="P1011" s="240"/>
      <c r="Q1011" s="240"/>
      <c r="R1011" s="240"/>
      <c r="S1011" s="240"/>
      <c r="T1011" s="240"/>
      <c r="U1011" s="240"/>
      <c r="V1011" s="240"/>
      <c r="W1011" s="240"/>
      <c r="X1011" s="240"/>
      <c r="Y1011" s="240"/>
    </row>
    <row r="1012" ht="15.75" customHeight="1">
      <c r="A1012" s="238"/>
      <c r="B1012" s="239"/>
      <c r="C1012" s="238" t="s">
        <v>468</v>
      </c>
      <c r="D1012" s="238"/>
      <c r="E1012" s="238"/>
      <c r="F1012" s="240"/>
      <c r="G1012" s="240"/>
      <c r="H1012" s="240"/>
      <c r="I1012" s="240"/>
      <c r="J1012" s="240"/>
      <c r="K1012" s="240"/>
      <c r="L1012" s="240"/>
      <c r="M1012" s="240"/>
      <c r="N1012" s="240"/>
      <c r="O1012" s="240"/>
      <c r="P1012" s="240"/>
      <c r="Q1012" s="240"/>
      <c r="R1012" s="240"/>
      <c r="S1012" s="240"/>
      <c r="T1012" s="240"/>
      <c r="U1012" s="240"/>
      <c r="V1012" s="240"/>
      <c r="W1012" s="240"/>
      <c r="X1012" s="240"/>
      <c r="Y1012" s="240"/>
    </row>
    <row r="1013" ht="15.75" customHeight="1">
      <c r="A1013" s="238"/>
      <c r="B1013" s="239"/>
      <c r="C1013" s="238" t="s">
        <v>468</v>
      </c>
      <c r="D1013" s="238"/>
      <c r="E1013" s="238"/>
      <c r="F1013" s="240"/>
      <c r="G1013" s="240"/>
      <c r="H1013" s="240"/>
      <c r="I1013" s="240"/>
      <c r="J1013" s="240"/>
      <c r="K1013" s="240"/>
      <c r="L1013" s="240"/>
      <c r="M1013" s="240"/>
      <c r="N1013" s="240"/>
      <c r="O1013" s="240"/>
      <c r="P1013" s="240"/>
      <c r="Q1013" s="240"/>
      <c r="R1013" s="240"/>
      <c r="S1013" s="240"/>
      <c r="T1013" s="240"/>
      <c r="U1013" s="240"/>
      <c r="V1013" s="240"/>
      <c r="W1013" s="240"/>
      <c r="X1013" s="240"/>
      <c r="Y1013" s="240"/>
    </row>
    <row r="1014" ht="15.75" customHeight="1">
      <c r="A1014" s="238"/>
      <c r="B1014" s="239"/>
      <c r="C1014" s="238" t="s">
        <v>468</v>
      </c>
      <c r="D1014" s="238"/>
      <c r="E1014" s="238"/>
      <c r="F1014" s="240"/>
      <c r="G1014" s="240"/>
      <c r="H1014" s="240"/>
      <c r="I1014" s="240"/>
      <c r="J1014" s="240"/>
      <c r="K1014" s="240"/>
      <c r="L1014" s="240"/>
      <c r="M1014" s="240"/>
      <c r="N1014" s="240"/>
      <c r="O1014" s="240"/>
      <c r="P1014" s="240"/>
      <c r="Q1014" s="240"/>
      <c r="R1014" s="240"/>
      <c r="S1014" s="240"/>
      <c r="T1014" s="240"/>
      <c r="U1014" s="240"/>
      <c r="V1014" s="240"/>
      <c r="W1014" s="240"/>
      <c r="X1014" s="240"/>
      <c r="Y1014" s="240"/>
    </row>
    <row r="1015" ht="15.75" customHeight="1">
      <c r="A1015" s="238"/>
      <c r="B1015" s="239"/>
      <c r="C1015" s="238" t="s">
        <v>468</v>
      </c>
      <c r="D1015" s="238"/>
      <c r="E1015" s="238"/>
      <c r="F1015" s="240"/>
      <c r="G1015" s="240"/>
      <c r="H1015" s="240"/>
      <c r="I1015" s="240"/>
      <c r="J1015" s="240"/>
      <c r="K1015" s="240"/>
      <c r="L1015" s="240"/>
      <c r="M1015" s="240"/>
      <c r="N1015" s="240"/>
      <c r="O1015" s="240"/>
      <c r="P1015" s="240"/>
      <c r="Q1015" s="240"/>
      <c r="R1015" s="240"/>
      <c r="S1015" s="240"/>
      <c r="T1015" s="240"/>
      <c r="U1015" s="240"/>
      <c r="V1015" s="240"/>
      <c r="W1015" s="240"/>
      <c r="X1015" s="240"/>
      <c r="Y1015" s="240"/>
    </row>
    <row r="1016" ht="15.75" customHeight="1">
      <c r="A1016" s="238"/>
      <c r="B1016" s="239"/>
      <c r="C1016" s="238" t="s">
        <v>468</v>
      </c>
      <c r="D1016" s="238"/>
      <c r="E1016" s="238"/>
      <c r="F1016" s="240"/>
      <c r="G1016" s="240"/>
      <c r="H1016" s="240"/>
      <c r="I1016" s="240"/>
      <c r="J1016" s="240"/>
      <c r="K1016" s="240"/>
      <c r="L1016" s="240"/>
      <c r="M1016" s="240"/>
      <c r="N1016" s="240"/>
      <c r="O1016" s="240"/>
      <c r="P1016" s="240"/>
      <c r="Q1016" s="240"/>
      <c r="R1016" s="240"/>
      <c r="S1016" s="240"/>
      <c r="T1016" s="240"/>
      <c r="U1016" s="240"/>
      <c r="V1016" s="240"/>
      <c r="W1016" s="240"/>
      <c r="X1016" s="240"/>
      <c r="Y1016" s="240"/>
    </row>
    <row r="1017" ht="15.75" customHeight="1">
      <c r="A1017" s="238"/>
      <c r="B1017" s="239"/>
      <c r="C1017" s="238" t="s">
        <v>468</v>
      </c>
      <c r="D1017" s="238"/>
      <c r="E1017" s="238"/>
      <c r="F1017" s="240"/>
      <c r="G1017" s="240"/>
      <c r="H1017" s="240"/>
      <c r="I1017" s="240"/>
      <c r="J1017" s="240"/>
      <c r="K1017" s="240"/>
      <c r="L1017" s="240"/>
      <c r="M1017" s="240"/>
      <c r="N1017" s="240"/>
      <c r="O1017" s="240"/>
      <c r="P1017" s="240"/>
      <c r="Q1017" s="240"/>
      <c r="R1017" s="240"/>
      <c r="S1017" s="240"/>
      <c r="T1017" s="240"/>
      <c r="U1017" s="240"/>
      <c r="V1017" s="240"/>
      <c r="W1017" s="240"/>
      <c r="X1017" s="240"/>
      <c r="Y1017" s="240"/>
    </row>
    <row r="1018" ht="15.75" customHeight="1">
      <c r="A1018" s="238"/>
      <c r="B1018" s="239"/>
      <c r="C1018" s="238" t="s">
        <v>468</v>
      </c>
      <c r="D1018" s="238"/>
      <c r="E1018" s="238"/>
      <c r="F1018" s="240"/>
      <c r="G1018" s="240"/>
      <c r="H1018" s="240"/>
      <c r="I1018" s="240"/>
      <c r="J1018" s="240"/>
      <c r="K1018" s="240"/>
      <c r="L1018" s="240"/>
      <c r="M1018" s="240"/>
      <c r="N1018" s="240"/>
      <c r="O1018" s="240"/>
      <c r="P1018" s="240"/>
      <c r="Q1018" s="240"/>
      <c r="R1018" s="240"/>
      <c r="S1018" s="240"/>
      <c r="T1018" s="240"/>
      <c r="U1018" s="240"/>
      <c r="V1018" s="240"/>
      <c r="W1018" s="240"/>
      <c r="X1018" s="240"/>
      <c r="Y1018" s="240"/>
    </row>
    <row r="1019" ht="15.75" customHeight="1">
      <c r="A1019" s="238"/>
      <c r="B1019" s="239"/>
      <c r="C1019" s="238" t="s">
        <v>468</v>
      </c>
      <c r="D1019" s="238"/>
      <c r="E1019" s="238"/>
      <c r="F1019" s="240"/>
      <c r="G1019" s="240"/>
      <c r="H1019" s="240"/>
      <c r="I1019" s="240"/>
      <c r="J1019" s="240"/>
      <c r="K1019" s="240"/>
      <c r="L1019" s="240"/>
      <c r="M1019" s="240"/>
      <c r="N1019" s="240"/>
      <c r="O1019" s="240"/>
      <c r="P1019" s="240"/>
      <c r="Q1019" s="240"/>
      <c r="R1019" s="240"/>
      <c r="S1019" s="240"/>
      <c r="T1019" s="240"/>
      <c r="U1019" s="240"/>
      <c r="V1019" s="240"/>
      <c r="W1019" s="240"/>
      <c r="X1019" s="240"/>
      <c r="Y1019" s="240"/>
    </row>
    <row r="1020" ht="15.75" customHeight="1">
      <c r="A1020" s="238"/>
      <c r="B1020" s="239"/>
      <c r="C1020" s="238" t="s">
        <v>468</v>
      </c>
      <c r="D1020" s="238"/>
      <c r="E1020" s="238"/>
      <c r="F1020" s="240"/>
      <c r="G1020" s="240"/>
      <c r="H1020" s="240"/>
      <c r="I1020" s="240"/>
      <c r="J1020" s="240"/>
      <c r="K1020" s="240"/>
      <c r="L1020" s="240"/>
      <c r="M1020" s="240"/>
      <c r="N1020" s="240"/>
      <c r="O1020" s="240"/>
      <c r="P1020" s="240"/>
      <c r="Q1020" s="240"/>
      <c r="R1020" s="240"/>
      <c r="S1020" s="240"/>
      <c r="T1020" s="240"/>
      <c r="U1020" s="240"/>
      <c r="V1020" s="240"/>
      <c r="W1020" s="240"/>
      <c r="X1020" s="240"/>
      <c r="Y1020" s="240"/>
    </row>
    <row r="1021" ht="15.75" customHeight="1">
      <c r="A1021" s="238"/>
      <c r="B1021" s="239"/>
      <c r="C1021" s="238" t="s">
        <v>468</v>
      </c>
      <c r="D1021" s="238"/>
      <c r="E1021" s="238"/>
      <c r="F1021" s="240"/>
      <c r="G1021" s="240"/>
      <c r="H1021" s="240"/>
      <c r="I1021" s="240"/>
      <c r="J1021" s="240"/>
      <c r="K1021" s="240"/>
      <c r="L1021" s="240"/>
      <c r="M1021" s="240"/>
      <c r="N1021" s="240"/>
      <c r="O1021" s="240"/>
      <c r="P1021" s="240"/>
      <c r="Q1021" s="240"/>
      <c r="R1021" s="240"/>
      <c r="S1021" s="240"/>
      <c r="T1021" s="240"/>
      <c r="U1021" s="240"/>
      <c r="V1021" s="240"/>
      <c r="W1021" s="240"/>
      <c r="X1021" s="240"/>
      <c r="Y1021" s="240"/>
    </row>
    <row r="1022" ht="15.75" customHeight="1">
      <c r="A1022" s="238"/>
      <c r="B1022" s="239"/>
      <c r="C1022" s="238" t="s">
        <v>468</v>
      </c>
      <c r="D1022" s="238"/>
      <c r="E1022" s="238"/>
      <c r="F1022" s="240"/>
      <c r="G1022" s="240"/>
      <c r="H1022" s="240"/>
      <c r="I1022" s="240"/>
      <c r="J1022" s="240"/>
      <c r="K1022" s="240"/>
      <c r="L1022" s="240"/>
      <c r="M1022" s="240"/>
      <c r="N1022" s="240"/>
      <c r="O1022" s="240"/>
      <c r="P1022" s="240"/>
      <c r="Q1022" s="240"/>
      <c r="R1022" s="240"/>
      <c r="S1022" s="240"/>
      <c r="T1022" s="240"/>
      <c r="U1022" s="240"/>
      <c r="V1022" s="240"/>
      <c r="W1022" s="240"/>
      <c r="X1022" s="240"/>
      <c r="Y1022" s="240"/>
    </row>
    <row r="1023" ht="15.75" customHeight="1">
      <c r="A1023" s="238"/>
      <c r="B1023" s="239"/>
      <c r="C1023" s="238" t="s">
        <v>468</v>
      </c>
      <c r="D1023" s="238"/>
      <c r="E1023" s="238"/>
      <c r="F1023" s="240"/>
      <c r="G1023" s="240"/>
      <c r="H1023" s="240"/>
      <c r="I1023" s="240"/>
      <c r="J1023" s="240"/>
      <c r="K1023" s="240"/>
      <c r="L1023" s="240"/>
      <c r="M1023" s="240"/>
      <c r="N1023" s="240"/>
      <c r="O1023" s="240"/>
      <c r="P1023" s="240"/>
      <c r="Q1023" s="240"/>
      <c r="R1023" s="240"/>
      <c r="S1023" s="240"/>
      <c r="T1023" s="240"/>
      <c r="U1023" s="240"/>
      <c r="V1023" s="240"/>
      <c r="W1023" s="240"/>
      <c r="X1023" s="240"/>
      <c r="Y1023" s="240"/>
    </row>
    <row r="1024" ht="15.75" customHeight="1">
      <c r="A1024" s="238"/>
      <c r="B1024" s="239"/>
      <c r="C1024" s="238" t="s">
        <v>468</v>
      </c>
      <c r="D1024" s="238"/>
      <c r="E1024" s="238"/>
      <c r="F1024" s="240"/>
      <c r="G1024" s="240"/>
      <c r="H1024" s="240"/>
      <c r="I1024" s="240"/>
      <c r="J1024" s="240"/>
      <c r="K1024" s="240"/>
      <c r="L1024" s="240"/>
      <c r="M1024" s="240"/>
      <c r="N1024" s="240"/>
      <c r="O1024" s="240"/>
      <c r="P1024" s="240"/>
      <c r="Q1024" s="240"/>
      <c r="R1024" s="240"/>
      <c r="S1024" s="240"/>
      <c r="T1024" s="240"/>
      <c r="U1024" s="240"/>
      <c r="V1024" s="240"/>
      <c r="W1024" s="240"/>
      <c r="X1024" s="240"/>
      <c r="Y1024" s="240"/>
    </row>
    <row r="1025" ht="15.75" customHeight="1">
      <c r="A1025" s="238"/>
      <c r="B1025" s="239"/>
      <c r="C1025" s="238" t="s">
        <v>468</v>
      </c>
      <c r="D1025" s="238"/>
      <c r="E1025" s="238"/>
      <c r="F1025" s="240"/>
      <c r="G1025" s="240"/>
      <c r="H1025" s="240"/>
      <c r="I1025" s="240"/>
      <c r="J1025" s="240"/>
      <c r="K1025" s="240"/>
      <c r="L1025" s="240"/>
      <c r="M1025" s="240"/>
      <c r="N1025" s="240"/>
      <c r="O1025" s="240"/>
      <c r="P1025" s="240"/>
      <c r="Q1025" s="240"/>
      <c r="R1025" s="240"/>
      <c r="S1025" s="240"/>
      <c r="T1025" s="240"/>
      <c r="U1025" s="240"/>
      <c r="V1025" s="240"/>
      <c r="W1025" s="240"/>
      <c r="X1025" s="240"/>
      <c r="Y1025" s="240"/>
    </row>
    <row r="1026" ht="15.75" customHeight="1">
      <c r="A1026" s="238"/>
      <c r="B1026" s="239"/>
      <c r="C1026" s="238" t="s">
        <v>468</v>
      </c>
      <c r="D1026" s="238"/>
      <c r="E1026" s="238"/>
      <c r="F1026" s="240"/>
      <c r="G1026" s="240"/>
      <c r="H1026" s="240"/>
      <c r="I1026" s="240"/>
      <c r="J1026" s="240"/>
      <c r="K1026" s="240"/>
      <c r="L1026" s="240"/>
      <c r="M1026" s="240"/>
      <c r="N1026" s="240"/>
      <c r="O1026" s="240"/>
      <c r="P1026" s="240"/>
      <c r="Q1026" s="240"/>
      <c r="R1026" s="240"/>
      <c r="S1026" s="240"/>
      <c r="T1026" s="240"/>
      <c r="U1026" s="240"/>
      <c r="V1026" s="240"/>
      <c r="W1026" s="240"/>
      <c r="X1026" s="240"/>
      <c r="Y1026" s="240"/>
    </row>
    <row r="1027" ht="15.75" customHeight="1">
      <c r="A1027" s="238"/>
      <c r="B1027" s="239"/>
      <c r="C1027" s="238" t="s">
        <v>468</v>
      </c>
      <c r="D1027" s="238"/>
      <c r="E1027" s="238"/>
      <c r="F1027" s="240"/>
      <c r="G1027" s="240"/>
      <c r="H1027" s="240"/>
      <c r="I1027" s="240"/>
      <c r="J1027" s="240"/>
      <c r="K1027" s="240"/>
      <c r="L1027" s="240"/>
      <c r="M1027" s="240"/>
      <c r="N1027" s="240"/>
      <c r="O1027" s="240"/>
      <c r="P1027" s="240"/>
      <c r="Q1027" s="240"/>
      <c r="R1027" s="240"/>
      <c r="S1027" s="240"/>
      <c r="T1027" s="240"/>
      <c r="U1027" s="240"/>
      <c r="V1027" s="240"/>
      <c r="W1027" s="240"/>
      <c r="X1027" s="240"/>
      <c r="Y1027" s="240"/>
    </row>
    <row r="1028" ht="15.75" customHeight="1">
      <c r="A1028" s="238"/>
      <c r="B1028" s="239"/>
      <c r="C1028" s="238" t="s">
        <v>468</v>
      </c>
      <c r="D1028" s="238"/>
      <c r="E1028" s="238"/>
      <c r="F1028" s="240"/>
      <c r="G1028" s="240"/>
      <c r="H1028" s="240"/>
      <c r="I1028" s="240"/>
      <c r="J1028" s="240"/>
      <c r="K1028" s="240"/>
      <c r="L1028" s="240"/>
      <c r="M1028" s="240"/>
      <c r="N1028" s="240"/>
      <c r="O1028" s="240"/>
      <c r="P1028" s="240"/>
      <c r="Q1028" s="240"/>
      <c r="R1028" s="240"/>
      <c r="S1028" s="240"/>
      <c r="T1028" s="240"/>
      <c r="U1028" s="240"/>
      <c r="V1028" s="240"/>
      <c r="W1028" s="240"/>
      <c r="X1028" s="240"/>
      <c r="Y1028" s="240"/>
    </row>
    <row r="1029" ht="15.75" customHeight="1">
      <c r="A1029" s="238"/>
      <c r="B1029" s="239"/>
      <c r="C1029" s="238" t="s">
        <v>468</v>
      </c>
      <c r="D1029" s="238"/>
      <c r="E1029" s="238"/>
      <c r="F1029" s="240"/>
      <c r="G1029" s="240"/>
      <c r="H1029" s="240"/>
      <c r="I1029" s="240"/>
      <c r="J1029" s="240"/>
      <c r="K1029" s="240"/>
      <c r="L1029" s="240"/>
      <c r="M1029" s="240"/>
      <c r="N1029" s="240"/>
      <c r="O1029" s="240"/>
      <c r="P1029" s="240"/>
      <c r="Q1029" s="240"/>
      <c r="R1029" s="240"/>
      <c r="S1029" s="240"/>
      <c r="T1029" s="240"/>
      <c r="U1029" s="240"/>
      <c r="V1029" s="240"/>
      <c r="W1029" s="240"/>
      <c r="X1029" s="240"/>
      <c r="Y1029" s="240"/>
    </row>
    <row r="1030" ht="15.75" customHeight="1">
      <c r="A1030" s="238"/>
      <c r="B1030" s="239"/>
      <c r="C1030" s="238" t="s">
        <v>468</v>
      </c>
      <c r="D1030" s="238"/>
      <c r="E1030" s="238"/>
      <c r="F1030" s="240"/>
      <c r="G1030" s="240"/>
      <c r="H1030" s="240"/>
      <c r="I1030" s="240"/>
      <c r="J1030" s="240"/>
      <c r="K1030" s="240"/>
      <c r="L1030" s="240"/>
      <c r="M1030" s="240"/>
      <c r="N1030" s="240"/>
      <c r="O1030" s="240"/>
      <c r="P1030" s="240"/>
      <c r="Q1030" s="240"/>
      <c r="R1030" s="240"/>
      <c r="S1030" s="240"/>
      <c r="T1030" s="240"/>
      <c r="U1030" s="240"/>
      <c r="V1030" s="240"/>
      <c r="W1030" s="240"/>
      <c r="X1030" s="240"/>
      <c r="Y1030" s="240"/>
    </row>
    <row r="1031" ht="15.75" customHeight="1">
      <c r="A1031" s="238"/>
      <c r="B1031" s="239"/>
      <c r="C1031" s="238" t="s">
        <v>468</v>
      </c>
      <c r="D1031" s="238"/>
      <c r="E1031" s="238"/>
      <c r="F1031" s="240"/>
      <c r="G1031" s="240"/>
      <c r="H1031" s="240"/>
      <c r="I1031" s="240"/>
      <c r="J1031" s="240"/>
      <c r="K1031" s="240"/>
      <c r="L1031" s="240"/>
      <c r="M1031" s="240"/>
      <c r="N1031" s="240"/>
      <c r="O1031" s="240"/>
      <c r="P1031" s="240"/>
      <c r="Q1031" s="240"/>
      <c r="R1031" s="240"/>
      <c r="S1031" s="240"/>
      <c r="T1031" s="240"/>
      <c r="U1031" s="240"/>
      <c r="V1031" s="240"/>
      <c r="W1031" s="240"/>
      <c r="X1031" s="240"/>
      <c r="Y1031" s="240"/>
    </row>
    <row r="1032" ht="15.75" customHeight="1">
      <c r="A1032" s="238"/>
      <c r="B1032" s="239"/>
      <c r="C1032" s="238" t="s">
        <v>468</v>
      </c>
      <c r="D1032" s="238"/>
      <c r="E1032" s="238"/>
      <c r="F1032" s="240"/>
      <c r="G1032" s="240"/>
      <c r="H1032" s="240"/>
      <c r="I1032" s="240"/>
      <c r="J1032" s="240"/>
      <c r="K1032" s="240"/>
      <c r="L1032" s="240"/>
      <c r="M1032" s="240"/>
      <c r="N1032" s="240"/>
      <c r="O1032" s="240"/>
      <c r="P1032" s="240"/>
      <c r="Q1032" s="240"/>
      <c r="R1032" s="240"/>
      <c r="S1032" s="240"/>
      <c r="T1032" s="240"/>
      <c r="U1032" s="240"/>
      <c r="V1032" s="240"/>
      <c r="W1032" s="240"/>
      <c r="X1032" s="240"/>
      <c r="Y1032" s="240"/>
    </row>
    <row r="1033" ht="15.75" customHeight="1">
      <c r="A1033" s="238"/>
      <c r="B1033" s="239"/>
      <c r="C1033" s="238" t="s">
        <v>468</v>
      </c>
      <c r="D1033" s="238"/>
      <c r="E1033" s="238"/>
      <c r="F1033" s="240"/>
      <c r="G1033" s="240"/>
      <c r="H1033" s="240"/>
      <c r="I1033" s="240"/>
      <c r="J1033" s="240"/>
      <c r="K1033" s="240"/>
      <c r="L1033" s="240"/>
      <c r="M1033" s="240"/>
      <c r="N1033" s="240"/>
      <c r="O1033" s="240"/>
      <c r="P1033" s="240"/>
      <c r="Q1033" s="240"/>
      <c r="R1033" s="240"/>
      <c r="S1033" s="240"/>
      <c r="T1033" s="240"/>
      <c r="U1033" s="240"/>
      <c r="V1033" s="240"/>
      <c r="W1033" s="240"/>
      <c r="X1033" s="240"/>
      <c r="Y1033" s="240"/>
    </row>
    <row r="1034" ht="15.75" customHeight="1">
      <c r="A1034" s="238"/>
      <c r="B1034" s="239"/>
      <c r="C1034" s="238" t="s">
        <v>468</v>
      </c>
      <c r="D1034" s="238"/>
      <c r="E1034" s="238"/>
      <c r="F1034" s="240"/>
      <c r="G1034" s="240"/>
      <c r="H1034" s="240"/>
      <c r="I1034" s="240"/>
      <c r="J1034" s="240"/>
      <c r="K1034" s="240"/>
      <c r="L1034" s="240"/>
      <c r="M1034" s="240"/>
      <c r="N1034" s="240"/>
      <c r="O1034" s="240"/>
      <c r="P1034" s="240"/>
      <c r="Q1034" s="240"/>
      <c r="R1034" s="240"/>
      <c r="S1034" s="240"/>
      <c r="T1034" s="240"/>
      <c r="U1034" s="240"/>
      <c r="V1034" s="240"/>
      <c r="W1034" s="240"/>
      <c r="X1034" s="240"/>
      <c r="Y1034" s="240"/>
    </row>
    <row r="1035" ht="15.75" customHeight="1">
      <c r="A1035" s="238"/>
      <c r="B1035" s="239"/>
      <c r="C1035" s="238" t="s">
        <v>468</v>
      </c>
      <c r="D1035" s="238"/>
      <c r="E1035" s="238"/>
      <c r="F1035" s="240"/>
      <c r="G1035" s="240"/>
      <c r="H1035" s="240"/>
      <c r="I1035" s="240"/>
      <c r="J1035" s="240"/>
      <c r="K1035" s="240"/>
      <c r="L1035" s="240"/>
      <c r="M1035" s="240"/>
      <c r="N1035" s="240"/>
      <c r="O1035" s="240"/>
      <c r="P1035" s="240"/>
      <c r="Q1035" s="240"/>
      <c r="R1035" s="240"/>
      <c r="S1035" s="240"/>
      <c r="T1035" s="240"/>
      <c r="U1035" s="240"/>
      <c r="V1035" s="240"/>
      <c r="W1035" s="240"/>
      <c r="X1035" s="240"/>
      <c r="Y1035" s="240"/>
    </row>
    <row r="1036" ht="15.75" customHeight="1">
      <c r="A1036" s="238"/>
      <c r="B1036" s="239"/>
      <c r="C1036" s="238" t="s">
        <v>468</v>
      </c>
      <c r="D1036" s="238"/>
      <c r="E1036" s="238"/>
      <c r="F1036" s="240"/>
      <c r="G1036" s="240"/>
      <c r="H1036" s="240"/>
      <c r="I1036" s="240"/>
      <c r="J1036" s="240"/>
      <c r="K1036" s="240"/>
      <c r="L1036" s="240"/>
      <c r="M1036" s="240"/>
      <c r="N1036" s="240"/>
      <c r="O1036" s="240"/>
      <c r="P1036" s="240"/>
      <c r="Q1036" s="240"/>
      <c r="R1036" s="240"/>
      <c r="S1036" s="240"/>
      <c r="T1036" s="240"/>
      <c r="U1036" s="240"/>
      <c r="V1036" s="240"/>
      <c r="W1036" s="240"/>
      <c r="X1036" s="240"/>
      <c r="Y1036" s="240"/>
    </row>
    <row r="1037" ht="15.75" customHeight="1">
      <c r="A1037" s="238"/>
      <c r="B1037" s="239"/>
      <c r="C1037" s="238" t="s">
        <v>468</v>
      </c>
      <c r="D1037" s="238"/>
      <c r="E1037" s="238"/>
      <c r="F1037" s="240"/>
      <c r="G1037" s="240"/>
      <c r="H1037" s="240"/>
      <c r="I1037" s="240"/>
      <c r="J1037" s="240"/>
      <c r="K1037" s="240"/>
      <c r="L1037" s="240"/>
      <c r="M1037" s="240"/>
      <c r="N1037" s="240"/>
      <c r="O1037" s="240"/>
      <c r="P1037" s="240"/>
      <c r="Q1037" s="240"/>
      <c r="R1037" s="240"/>
      <c r="S1037" s="240"/>
      <c r="T1037" s="240"/>
      <c r="U1037" s="240"/>
      <c r="V1037" s="240"/>
      <c r="W1037" s="240"/>
      <c r="X1037" s="240"/>
      <c r="Y1037" s="240"/>
    </row>
    <row r="1038" ht="15.75" customHeight="1">
      <c r="A1038" s="238"/>
      <c r="B1038" s="239"/>
      <c r="C1038" s="238" t="s">
        <v>468</v>
      </c>
      <c r="D1038" s="238"/>
      <c r="E1038" s="238"/>
      <c r="F1038" s="240"/>
      <c r="G1038" s="240"/>
      <c r="H1038" s="240"/>
      <c r="I1038" s="240"/>
      <c r="J1038" s="240"/>
      <c r="K1038" s="240"/>
      <c r="L1038" s="240"/>
      <c r="M1038" s="240"/>
      <c r="N1038" s="240"/>
      <c r="O1038" s="240"/>
      <c r="P1038" s="240"/>
      <c r="Q1038" s="240"/>
      <c r="R1038" s="240"/>
      <c r="S1038" s="240"/>
      <c r="T1038" s="240"/>
      <c r="U1038" s="240"/>
      <c r="V1038" s="240"/>
      <c r="W1038" s="240"/>
      <c r="X1038" s="240"/>
      <c r="Y1038" s="240"/>
    </row>
    <row r="1039" ht="15.75" customHeight="1">
      <c r="A1039" s="238"/>
      <c r="B1039" s="239"/>
      <c r="C1039" s="238" t="s">
        <v>468</v>
      </c>
      <c r="D1039" s="238"/>
      <c r="E1039" s="238"/>
      <c r="F1039" s="240"/>
      <c r="G1039" s="240"/>
      <c r="H1039" s="240"/>
      <c r="I1039" s="240"/>
      <c r="J1039" s="240"/>
      <c r="K1039" s="240"/>
      <c r="L1039" s="240"/>
      <c r="M1039" s="240"/>
      <c r="N1039" s="240"/>
      <c r="O1039" s="240"/>
      <c r="P1039" s="240"/>
      <c r="Q1039" s="240"/>
      <c r="R1039" s="240"/>
      <c r="S1039" s="240"/>
      <c r="T1039" s="240"/>
      <c r="U1039" s="240"/>
      <c r="V1039" s="240"/>
      <c r="W1039" s="240"/>
      <c r="X1039" s="240"/>
      <c r="Y1039" s="240"/>
    </row>
    <row r="1040" ht="15.75" customHeight="1">
      <c r="A1040" s="238"/>
      <c r="B1040" s="239"/>
      <c r="C1040" s="238" t="s">
        <v>468</v>
      </c>
      <c r="D1040" s="238"/>
      <c r="E1040" s="238"/>
      <c r="F1040" s="240"/>
      <c r="G1040" s="240"/>
      <c r="H1040" s="240"/>
      <c r="I1040" s="240"/>
      <c r="J1040" s="240"/>
      <c r="K1040" s="240"/>
      <c r="L1040" s="240"/>
      <c r="M1040" s="240"/>
      <c r="N1040" s="240"/>
      <c r="O1040" s="240"/>
      <c r="P1040" s="240"/>
      <c r="Q1040" s="240"/>
      <c r="R1040" s="240"/>
      <c r="S1040" s="240"/>
      <c r="T1040" s="240"/>
      <c r="U1040" s="240"/>
      <c r="V1040" s="240"/>
      <c r="W1040" s="240"/>
      <c r="X1040" s="240"/>
      <c r="Y1040" s="240"/>
    </row>
    <row r="1041" ht="15.75" customHeight="1">
      <c r="A1041" s="238"/>
      <c r="B1041" s="239"/>
      <c r="C1041" s="238" t="s">
        <v>468</v>
      </c>
      <c r="D1041" s="238"/>
      <c r="E1041" s="238"/>
      <c r="F1041" s="240"/>
      <c r="G1041" s="240"/>
      <c r="H1041" s="240"/>
      <c r="I1041" s="240"/>
      <c r="J1041" s="240"/>
      <c r="K1041" s="240"/>
      <c r="L1041" s="240"/>
      <c r="M1041" s="240"/>
      <c r="N1041" s="240"/>
      <c r="O1041" s="240"/>
      <c r="P1041" s="240"/>
      <c r="Q1041" s="240"/>
      <c r="R1041" s="240"/>
      <c r="S1041" s="240"/>
      <c r="T1041" s="240"/>
      <c r="U1041" s="240"/>
      <c r="V1041" s="240"/>
      <c r="W1041" s="240"/>
      <c r="X1041" s="240"/>
      <c r="Y1041" s="240"/>
    </row>
    <row r="1042" ht="15.75" customHeight="1">
      <c r="A1042" s="238"/>
      <c r="B1042" s="239"/>
      <c r="C1042" s="238" t="s">
        <v>468</v>
      </c>
      <c r="D1042" s="238"/>
      <c r="E1042" s="238"/>
      <c r="F1042" s="240"/>
      <c r="G1042" s="240"/>
      <c r="H1042" s="240"/>
      <c r="I1042" s="240"/>
      <c r="J1042" s="240"/>
      <c r="K1042" s="240"/>
      <c r="L1042" s="240"/>
      <c r="M1042" s="240"/>
      <c r="N1042" s="240"/>
      <c r="O1042" s="240"/>
      <c r="P1042" s="240"/>
      <c r="Q1042" s="240"/>
      <c r="R1042" s="240"/>
      <c r="S1042" s="240"/>
      <c r="T1042" s="240"/>
      <c r="U1042" s="240"/>
      <c r="V1042" s="240"/>
      <c r="W1042" s="240"/>
      <c r="X1042" s="240"/>
      <c r="Y1042" s="240"/>
    </row>
    <row r="1043" ht="15.75" customHeight="1">
      <c r="A1043" s="238"/>
      <c r="B1043" s="239"/>
      <c r="C1043" s="238" t="s">
        <v>468</v>
      </c>
      <c r="D1043" s="238"/>
      <c r="E1043" s="238"/>
      <c r="F1043" s="240"/>
      <c r="G1043" s="240"/>
      <c r="H1043" s="240"/>
      <c r="I1043" s="240"/>
      <c r="J1043" s="240"/>
      <c r="K1043" s="240"/>
      <c r="L1043" s="240"/>
      <c r="M1043" s="240"/>
      <c r="N1043" s="240"/>
      <c r="O1043" s="240"/>
      <c r="P1043" s="240"/>
      <c r="Q1043" s="240"/>
      <c r="R1043" s="240"/>
      <c r="S1043" s="240"/>
      <c r="T1043" s="240"/>
      <c r="U1043" s="240"/>
      <c r="V1043" s="240"/>
      <c r="W1043" s="240"/>
      <c r="X1043" s="240"/>
      <c r="Y1043" s="240"/>
    </row>
    <row r="1044" ht="15.75" customHeight="1">
      <c r="A1044" s="238"/>
      <c r="B1044" s="239"/>
      <c r="C1044" s="238" t="s">
        <v>468</v>
      </c>
      <c r="D1044" s="238"/>
      <c r="E1044" s="238"/>
      <c r="F1044" s="240"/>
      <c r="G1044" s="240"/>
      <c r="H1044" s="240"/>
      <c r="I1044" s="240"/>
      <c r="J1044" s="240"/>
      <c r="K1044" s="240"/>
      <c r="L1044" s="240"/>
      <c r="M1044" s="240"/>
      <c r="N1044" s="240"/>
      <c r="O1044" s="240"/>
      <c r="P1044" s="240"/>
      <c r="Q1044" s="240"/>
      <c r="R1044" s="240"/>
      <c r="S1044" s="240"/>
      <c r="T1044" s="240"/>
      <c r="U1044" s="240"/>
      <c r="V1044" s="240"/>
      <c r="W1044" s="240"/>
      <c r="X1044" s="240"/>
      <c r="Y1044" s="240"/>
    </row>
    <row r="1045" ht="15.75" customHeight="1">
      <c r="A1045" s="238"/>
      <c r="B1045" s="239"/>
      <c r="C1045" s="238" t="s">
        <v>468</v>
      </c>
      <c r="D1045" s="238"/>
      <c r="E1045" s="238"/>
      <c r="F1045" s="240"/>
      <c r="G1045" s="240"/>
      <c r="H1045" s="240"/>
      <c r="I1045" s="240"/>
      <c r="J1045" s="240"/>
      <c r="K1045" s="240"/>
      <c r="L1045" s="240"/>
      <c r="M1045" s="240"/>
      <c r="N1045" s="240"/>
      <c r="O1045" s="240"/>
      <c r="P1045" s="240"/>
      <c r="Q1045" s="240"/>
      <c r="R1045" s="240"/>
      <c r="S1045" s="240"/>
      <c r="T1045" s="240"/>
      <c r="U1045" s="240"/>
      <c r="V1045" s="240"/>
      <c r="W1045" s="240"/>
      <c r="X1045" s="240"/>
      <c r="Y1045" s="240"/>
    </row>
    <row r="1046" ht="15.75" customHeight="1">
      <c r="A1046" s="238"/>
      <c r="B1046" s="239"/>
      <c r="C1046" s="238" t="s">
        <v>468</v>
      </c>
      <c r="D1046" s="238"/>
      <c r="E1046" s="238"/>
      <c r="F1046" s="240"/>
      <c r="G1046" s="240"/>
      <c r="H1046" s="240"/>
      <c r="I1046" s="240"/>
      <c r="J1046" s="240"/>
      <c r="K1046" s="240"/>
      <c r="L1046" s="240"/>
      <c r="M1046" s="240"/>
      <c r="N1046" s="240"/>
      <c r="O1046" s="240"/>
      <c r="P1046" s="240"/>
      <c r="Q1046" s="240"/>
      <c r="R1046" s="240"/>
      <c r="S1046" s="240"/>
      <c r="T1046" s="240"/>
      <c r="U1046" s="240"/>
      <c r="V1046" s="240"/>
      <c r="W1046" s="240"/>
      <c r="X1046" s="240"/>
      <c r="Y1046" s="240"/>
    </row>
    <row r="1047" ht="15.75" customHeight="1">
      <c r="A1047" s="238"/>
      <c r="B1047" s="239"/>
      <c r="C1047" s="238" t="s">
        <v>468</v>
      </c>
      <c r="D1047" s="238"/>
      <c r="E1047" s="238"/>
      <c r="F1047" s="240"/>
      <c r="G1047" s="240"/>
      <c r="H1047" s="240"/>
      <c r="I1047" s="240"/>
      <c r="J1047" s="240"/>
      <c r="K1047" s="240"/>
      <c r="L1047" s="240"/>
      <c r="M1047" s="240"/>
      <c r="N1047" s="240"/>
      <c r="O1047" s="240"/>
      <c r="P1047" s="240"/>
      <c r="Q1047" s="240"/>
      <c r="R1047" s="240"/>
      <c r="S1047" s="240"/>
      <c r="T1047" s="240"/>
      <c r="U1047" s="240"/>
      <c r="V1047" s="240"/>
      <c r="W1047" s="240"/>
      <c r="X1047" s="240"/>
      <c r="Y1047" s="240"/>
    </row>
    <row r="1048" ht="15.75" customHeight="1">
      <c r="A1048" s="238"/>
      <c r="B1048" s="239"/>
      <c r="C1048" s="238" t="s">
        <v>468</v>
      </c>
      <c r="D1048" s="238"/>
      <c r="E1048" s="238"/>
      <c r="F1048" s="240"/>
      <c r="G1048" s="240"/>
      <c r="H1048" s="240"/>
      <c r="I1048" s="240"/>
      <c r="J1048" s="240"/>
      <c r="K1048" s="240"/>
      <c r="L1048" s="240"/>
      <c r="M1048" s="240"/>
      <c r="N1048" s="240"/>
      <c r="O1048" s="240"/>
      <c r="P1048" s="240"/>
      <c r="Q1048" s="240"/>
      <c r="R1048" s="240"/>
      <c r="S1048" s="240"/>
      <c r="T1048" s="240"/>
      <c r="U1048" s="240"/>
      <c r="V1048" s="240"/>
      <c r="W1048" s="240"/>
      <c r="X1048" s="240"/>
      <c r="Y1048" s="240"/>
    </row>
    <row r="1049" ht="15.75" customHeight="1">
      <c r="A1049" s="238"/>
      <c r="B1049" s="239"/>
      <c r="C1049" s="238" t="s">
        <v>468</v>
      </c>
      <c r="D1049" s="238"/>
      <c r="E1049" s="238"/>
      <c r="F1049" s="240"/>
      <c r="G1049" s="240"/>
      <c r="H1049" s="240"/>
      <c r="I1049" s="240"/>
      <c r="J1049" s="240"/>
      <c r="K1049" s="240"/>
      <c r="L1049" s="240"/>
      <c r="M1049" s="240"/>
      <c r="N1049" s="240"/>
      <c r="O1049" s="240"/>
      <c r="P1049" s="240"/>
      <c r="Q1049" s="240"/>
      <c r="R1049" s="240"/>
      <c r="S1049" s="240"/>
      <c r="T1049" s="240"/>
      <c r="U1049" s="240"/>
      <c r="V1049" s="240"/>
      <c r="W1049" s="240"/>
      <c r="X1049" s="240"/>
      <c r="Y1049" s="240"/>
    </row>
    <row r="1050" ht="15.75" customHeight="1">
      <c r="A1050" s="238"/>
      <c r="B1050" s="239"/>
      <c r="C1050" s="238" t="s">
        <v>468</v>
      </c>
      <c r="D1050" s="238"/>
      <c r="E1050" s="238"/>
      <c r="F1050" s="240"/>
      <c r="G1050" s="240"/>
      <c r="H1050" s="240"/>
      <c r="I1050" s="240"/>
      <c r="J1050" s="240"/>
      <c r="K1050" s="240"/>
      <c r="L1050" s="240"/>
      <c r="M1050" s="240"/>
      <c r="N1050" s="240"/>
      <c r="O1050" s="240"/>
      <c r="P1050" s="240"/>
      <c r="Q1050" s="240"/>
      <c r="R1050" s="240"/>
      <c r="S1050" s="240"/>
      <c r="T1050" s="240"/>
      <c r="U1050" s="240"/>
      <c r="V1050" s="240"/>
      <c r="W1050" s="240"/>
      <c r="X1050" s="240"/>
      <c r="Y1050" s="240"/>
    </row>
    <row r="1051" ht="15.75" customHeight="1">
      <c r="A1051" s="238"/>
      <c r="B1051" s="239"/>
      <c r="C1051" s="238" t="s">
        <v>468</v>
      </c>
      <c r="D1051" s="238"/>
      <c r="E1051" s="238"/>
      <c r="F1051" s="240"/>
      <c r="G1051" s="240"/>
      <c r="H1051" s="240"/>
      <c r="I1051" s="240"/>
      <c r="J1051" s="240"/>
      <c r="K1051" s="240"/>
      <c r="L1051" s="240"/>
      <c r="M1051" s="240"/>
      <c r="N1051" s="240"/>
      <c r="O1051" s="240"/>
      <c r="P1051" s="240"/>
      <c r="Q1051" s="240"/>
      <c r="R1051" s="240"/>
      <c r="S1051" s="240"/>
      <c r="T1051" s="240"/>
      <c r="U1051" s="240"/>
      <c r="V1051" s="240"/>
      <c r="W1051" s="240"/>
      <c r="X1051" s="240"/>
      <c r="Y1051" s="240"/>
    </row>
    <row r="1052" ht="15.75" customHeight="1">
      <c r="A1052" s="238"/>
      <c r="B1052" s="239"/>
      <c r="C1052" s="238" t="s">
        <v>468</v>
      </c>
      <c r="D1052" s="238"/>
      <c r="E1052" s="238"/>
      <c r="F1052" s="240"/>
      <c r="G1052" s="240"/>
      <c r="H1052" s="240"/>
      <c r="I1052" s="240"/>
      <c r="J1052" s="240"/>
      <c r="K1052" s="240"/>
      <c r="L1052" s="240"/>
      <c r="M1052" s="240"/>
      <c r="N1052" s="240"/>
      <c r="O1052" s="240"/>
      <c r="P1052" s="240"/>
      <c r="Q1052" s="240"/>
      <c r="R1052" s="240"/>
      <c r="S1052" s="240"/>
      <c r="T1052" s="240"/>
      <c r="U1052" s="240"/>
      <c r="V1052" s="240"/>
      <c r="W1052" s="240"/>
      <c r="X1052" s="240"/>
      <c r="Y1052" s="240"/>
    </row>
    <row r="1053" ht="15.75" customHeight="1">
      <c r="A1053" s="238"/>
      <c r="B1053" s="239"/>
      <c r="C1053" s="238" t="s">
        <v>468</v>
      </c>
      <c r="D1053" s="238"/>
      <c r="E1053" s="238"/>
      <c r="F1053" s="240"/>
      <c r="G1053" s="240"/>
      <c r="H1053" s="240"/>
      <c r="I1053" s="240"/>
      <c r="J1053" s="240"/>
      <c r="K1053" s="240"/>
      <c r="L1053" s="240"/>
      <c r="M1053" s="240"/>
      <c r="N1053" s="240"/>
      <c r="O1053" s="240"/>
      <c r="P1053" s="240"/>
      <c r="Q1053" s="240"/>
      <c r="R1053" s="240"/>
      <c r="S1053" s="240"/>
      <c r="T1053" s="240"/>
      <c r="U1053" s="240"/>
      <c r="V1053" s="240"/>
      <c r="W1053" s="240"/>
      <c r="X1053" s="240"/>
      <c r="Y1053" s="240"/>
    </row>
    <row r="1054" ht="15.75" customHeight="1">
      <c r="A1054" s="238"/>
      <c r="B1054" s="239"/>
      <c r="C1054" s="238" t="s">
        <v>468</v>
      </c>
      <c r="D1054" s="238"/>
      <c r="E1054" s="238"/>
      <c r="F1054" s="240"/>
      <c r="G1054" s="240"/>
      <c r="H1054" s="240"/>
      <c r="I1054" s="240"/>
      <c r="J1054" s="240"/>
      <c r="K1054" s="240"/>
      <c r="L1054" s="240"/>
      <c r="M1054" s="240"/>
      <c r="N1054" s="240"/>
      <c r="O1054" s="240"/>
      <c r="P1054" s="240"/>
      <c r="Q1054" s="240"/>
      <c r="R1054" s="240"/>
      <c r="S1054" s="240"/>
      <c r="T1054" s="240"/>
      <c r="U1054" s="240"/>
      <c r="V1054" s="240"/>
      <c r="W1054" s="240"/>
      <c r="X1054" s="240"/>
      <c r="Y1054" s="240"/>
    </row>
    <row r="1055" ht="15.75" customHeight="1">
      <c r="A1055" s="238"/>
      <c r="B1055" s="239"/>
      <c r="C1055" s="238" t="s">
        <v>468</v>
      </c>
      <c r="D1055" s="238"/>
      <c r="E1055" s="238"/>
      <c r="F1055" s="240"/>
      <c r="G1055" s="240"/>
      <c r="H1055" s="240"/>
      <c r="I1055" s="240"/>
      <c r="J1055" s="240"/>
      <c r="K1055" s="240"/>
      <c r="L1055" s="240"/>
      <c r="M1055" s="240"/>
      <c r="N1055" s="240"/>
      <c r="O1055" s="240"/>
      <c r="P1055" s="240"/>
      <c r="Q1055" s="240"/>
      <c r="R1055" s="240"/>
      <c r="S1055" s="240"/>
      <c r="T1055" s="240"/>
      <c r="U1055" s="240"/>
      <c r="V1055" s="240"/>
      <c r="W1055" s="240"/>
      <c r="X1055" s="240"/>
      <c r="Y1055" s="240"/>
    </row>
    <row r="1056" ht="15.75" customHeight="1">
      <c r="A1056" s="238"/>
      <c r="B1056" s="239"/>
      <c r="C1056" s="238" t="s">
        <v>468</v>
      </c>
      <c r="D1056" s="238"/>
      <c r="E1056" s="238"/>
      <c r="F1056" s="240"/>
      <c r="G1056" s="240"/>
      <c r="H1056" s="240"/>
      <c r="I1056" s="240"/>
      <c r="J1056" s="240"/>
      <c r="K1056" s="240"/>
      <c r="L1056" s="240"/>
      <c r="M1056" s="240"/>
      <c r="N1056" s="240"/>
      <c r="O1056" s="240"/>
      <c r="P1056" s="240"/>
      <c r="Q1056" s="240"/>
      <c r="R1056" s="240"/>
      <c r="S1056" s="240"/>
      <c r="T1056" s="240"/>
      <c r="U1056" s="240"/>
      <c r="V1056" s="240"/>
      <c r="W1056" s="240"/>
      <c r="X1056" s="240"/>
      <c r="Y1056" s="240"/>
    </row>
    <row r="1057" ht="15.75" customHeight="1">
      <c r="A1057" s="238"/>
      <c r="B1057" s="239"/>
      <c r="C1057" s="238" t="s">
        <v>468</v>
      </c>
      <c r="D1057" s="238"/>
      <c r="E1057" s="238"/>
      <c r="F1057" s="240"/>
      <c r="G1057" s="240"/>
      <c r="H1057" s="240"/>
      <c r="I1057" s="240"/>
      <c r="J1057" s="240"/>
      <c r="K1057" s="240"/>
      <c r="L1057" s="240"/>
      <c r="M1057" s="240"/>
      <c r="N1057" s="240"/>
      <c r="O1057" s="240"/>
      <c r="P1057" s="240"/>
      <c r="Q1057" s="240"/>
      <c r="R1057" s="240"/>
      <c r="S1057" s="240"/>
      <c r="T1057" s="240"/>
      <c r="U1057" s="240"/>
      <c r="V1057" s="240"/>
      <c r="W1057" s="240"/>
      <c r="X1057" s="240"/>
      <c r="Y1057" s="240"/>
    </row>
    <row r="1058" ht="15.75" customHeight="1">
      <c r="A1058" s="238"/>
      <c r="B1058" s="239"/>
      <c r="C1058" s="238" t="s">
        <v>468</v>
      </c>
      <c r="D1058" s="238"/>
      <c r="E1058" s="238"/>
      <c r="F1058" s="240"/>
      <c r="G1058" s="240"/>
      <c r="H1058" s="240"/>
      <c r="I1058" s="240"/>
      <c r="J1058" s="240"/>
      <c r="K1058" s="240"/>
      <c r="L1058" s="240"/>
      <c r="M1058" s="240"/>
      <c r="N1058" s="240"/>
      <c r="O1058" s="240"/>
      <c r="P1058" s="240"/>
      <c r="Q1058" s="240"/>
      <c r="R1058" s="240"/>
      <c r="S1058" s="240"/>
      <c r="T1058" s="240"/>
      <c r="U1058" s="240"/>
      <c r="V1058" s="240"/>
      <c r="W1058" s="240"/>
      <c r="X1058" s="240"/>
      <c r="Y1058" s="240"/>
    </row>
    <row r="1059" ht="15.75" customHeight="1">
      <c r="A1059" s="238"/>
      <c r="B1059" s="239"/>
      <c r="C1059" s="238" t="s">
        <v>468</v>
      </c>
      <c r="D1059" s="238"/>
      <c r="E1059" s="238"/>
      <c r="F1059" s="240"/>
      <c r="G1059" s="240"/>
      <c r="H1059" s="240"/>
      <c r="I1059" s="240"/>
      <c r="J1059" s="240"/>
      <c r="K1059" s="240"/>
      <c r="L1059" s="240"/>
      <c r="M1059" s="240"/>
      <c r="N1059" s="240"/>
      <c r="O1059" s="240"/>
      <c r="P1059" s="240"/>
      <c r="Q1059" s="240"/>
      <c r="R1059" s="240"/>
      <c r="S1059" s="240"/>
      <c r="T1059" s="240"/>
      <c r="U1059" s="240"/>
      <c r="V1059" s="240"/>
      <c r="W1059" s="240"/>
      <c r="X1059" s="240"/>
      <c r="Y1059" s="240"/>
    </row>
    <row r="1060" ht="15.75" customHeight="1">
      <c r="A1060" s="238"/>
      <c r="B1060" s="239"/>
      <c r="C1060" s="238" t="s">
        <v>468</v>
      </c>
      <c r="D1060" s="238"/>
      <c r="E1060" s="238"/>
      <c r="F1060" s="240"/>
      <c r="G1060" s="240"/>
      <c r="H1060" s="240"/>
      <c r="I1060" s="240"/>
      <c r="J1060" s="240"/>
      <c r="K1060" s="240"/>
      <c r="L1060" s="240"/>
      <c r="M1060" s="240"/>
      <c r="N1060" s="240"/>
      <c r="O1060" s="240"/>
      <c r="P1060" s="240"/>
      <c r="Q1060" s="240"/>
      <c r="R1060" s="240"/>
      <c r="S1060" s="240"/>
      <c r="T1060" s="240"/>
      <c r="U1060" s="240"/>
      <c r="V1060" s="240"/>
      <c r="W1060" s="240"/>
      <c r="X1060" s="240"/>
      <c r="Y1060" s="240"/>
    </row>
    <row r="1061" ht="15.75" customHeight="1">
      <c r="A1061" s="238"/>
      <c r="B1061" s="239"/>
      <c r="C1061" s="238" t="s">
        <v>468</v>
      </c>
      <c r="D1061" s="238"/>
      <c r="E1061" s="238"/>
      <c r="F1061" s="240"/>
      <c r="G1061" s="240"/>
      <c r="H1061" s="240"/>
      <c r="I1061" s="240"/>
      <c r="J1061" s="240"/>
      <c r="K1061" s="240"/>
      <c r="L1061" s="240"/>
      <c r="M1061" s="240"/>
      <c r="N1061" s="240"/>
      <c r="O1061" s="240"/>
      <c r="P1061" s="240"/>
      <c r="Q1061" s="240"/>
      <c r="R1061" s="240"/>
      <c r="S1061" s="240"/>
      <c r="T1061" s="240"/>
      <c r="U1061" s="240"/>
      <c r="V1061" s="240"/>
      <c r="W1061" s="240"/>
      <c r="X1061" s="240"/>
      <c r="Y1061" s="240"/>
    </row>
    <row r="1062" ht="15.75" customHeight="1">
      <c r="A1062" s="238"/>
      <c r="B1062" s="239"/>
      <c r="C1062" s="238" t="s">
        <v>468</v>
      </c>
      <c r="D1062" s="238"/>
      <c r="E1062" s="238"/>
      <c r="F1062" s="240"/>
      <c r="G1062" s="240"/>
      <c r="H1062" s="240"/>
      <c r="I1062" s="240"/>
      <c r="J1062" s="240"/>
      <c r="K1062" s="240"/>
      <c r="L1062" s="240"/>
      <c r="M1062" s="240"/>
      <c r="N1062" s="240"/>
      <c r="O1062" s="240"/>
      <c r="P1062" s="240"/>
      <c r="Q1062" s="240"/>
      <c r="R1062" s="240"/>
      <c r="S1062" s="240"/>
      <c r="T1062" s="240"/>
      <c r="U1062" s="240"/>
      <c r="V1062" s="240"/>
      <c r="W1062" s="240"/>
      <c r="X1062" s="240"/>
      <c r="Y1062" s="240"/>
    </row>
    <row r="1063" ht="15.75" customHeight="1">
      <c r="A1063" s="238"/>
      <c r="B1063" s="239"/>
      <c r="C1063" s="238" t="s">
        <v>468</v>
      </c>
      <c r="D1063" s="238"/>
      <c r="E1063" s="238"/>
      <c r="F1063" s="240"/>
      <c r="G1063" s="240"/>
      <c r="H1063" s="240"/>
      <c r="I1063" s="240"/>
      <c r="J1063" s="240"/>
      <c r="K1063" s="240"/>
      <c r="L1063" s="240"/>
      <c r="M1063" s="240"/>
      <c r="N1063" s="240"/>
      <c r="O1063" s="240"/>
      <c r="P1063" s="240"/>
      <c r="Q1063" s="240"/>
      <c r="R1063" s="240"/>
      <c r="S1063" s="240"/>
      <c r="T1063" s="240"/>
      <c r="U1063" s="240"/>
      <c r="V1063" s="240"/>
      <c r="W1063" s="240"/>
      <c r="X1063" s="240"/>
      <c r="Y1063" s="240"/>
    </row>
    <row r="1064" ht="15.75" customHeight="1">
      <c r="A1064" s="238"/>
      <c r="B1064" s="239"/>
      <c r="C1064" s="238" t="s">
        <v>468</v>
      </c>
      <c r="D1064" s="238"/>
      <c r="E1064" s="238"/>
      <c r="F1064" s="240"/>
      <c r="G1064" s="240"/>
      <c r="H1064" s="240"/>
      <c r="I1064" s="240"/>
      <c r="J1064" s="240"/>
      <c r="K1064" s="240"/>
      <c r="L1064" s="240"/>
      <c r="M1064" s="240"/>
      <c r="N1064" s="240"/>
      <c r="O1064" s="240"/>
      <c r="P1064" s="240"/>
      <c r="Q1064" s="240"/>
      <c r="R1064" s="240"/>
      <c r="S1064" s="240"/>
      <c r="T1064" s="240"/>
      <c r="U1064" s="240"/>
      <c r="V1064" s="240"/>
      <c r="W1064" s="240"/>
      <c r="X1064" s="240"/>
      <c r="Y1064" s="240"/>
    </row>
    <row r="1065" ht="15.75" customHeight="1">
      <c r="A1065" s="238"/>
      <c r="B1065" s="239"/>
      <c r="C1065" s="238" t="s">
        <v>468</v>
      </c>
      <c r="D1065" s="238"/>
      <c r="E1065" s="238"/>
      <c r="F1065" s="240"/>
      <c r="G1065" s="240"/>
      <c r="H1065" s="240"/>
      <c r="I1065" s="240"/>
      <c r="J1065" s="240"/>
      <c r="K1065" s="240"/>
      <c r="L1065" s="240"/>
      <c r="M1065" s="240"/>
      <c r="N1065" s="240"/>
      <c r="O1065" s="240"/>
      <c r="P1065" s="240"/>
      <c r="Q1065" s="240"/>
      <c r="R1065" s="240"/>
      <c r="S1065" s="240"/>
      <c r="T1065" s="240"/>
      <c r="U1065" s="240"/>
      <c r="V1065" s="240"/>
      <c r="W1065" s="240"/>
      <c r="X1065" s="240"/>
      <c r="Y1065" s="240"/>
    </row>
    <row r="1066" ht="15.75" customHeight="1">
      <c r="A1066" s="238"/>
      <c r="B1066" s="239"/>
      <c r="C1066" s="238" t="s">
        <v>468</v>
      </c>
      <c r="D1066" s="238"/>
      <c r="E1066" s="238"/>
      <c r="F1066" s="240"/>
      <c r="G1066" s="240"/>
      <c r="H1066" s="240"/>
      <c r="I1066" s="240"/>
      <c r="J1066" s="240"/>
      <c r="K1066" s="240"/>
      <c r="L1066" s="240"/>
      <c r="M1066" s="240"/>
      <c r="N1066" s="240"/>
      <c r="O1066" s="240"/>
      <c r="P1066" s="240"/>
      <c r="Q1066" s="240"/>
      <c r="R1066" s="240"/>
      <c r="S1066" s="240"/>
      <c r="T1066" s="240"/>
      <c r="U1066" s="240"/>
      <c r="V1066" s="240"/>
      <c r="W1066" s="240"/>
      <c r="X1066" s="240"/>
      <c r="Y1066" s="240"/>
    </row>
    <row r="1067" ht="15.75" customHeight="1">
      <c r="A1067" s="238"/>
      <c r="B1067" s="239"/>
      <c r="C1067" s="238" t="s">
        <v>468</v>
      </c>
      <c r="D1067" s="238"/>
      <c r="E1067" s="238"/>
      <c r="F1067" s="240"/>
      <c r="G1067" s="240"/>
      <c r="H1067" s="240"/>
      <c r="I1067" s="240"/>
      <c r="J1067" s="240"/>
      <c r="K1067" s="240"/>
      <c r="L1067" s="240"/>
      <c r="M1067" s="240"/>
      <c r="N1067" s="240"/>
      <c r="O1067" s="240"/>
      <c r="P1067" s="240"/>
      <c r="Q1067" s="240"/>
      <c r="R1067" s="240"/>
      <c r="S1067" s="240"/>
      <c r="T1067" s="240"/>
      <c r="U1067" s="240"/>
      <c r="V1067" s="240"/>
      <c r="W1067" s="240"/>
      <c r="X1067" s="240"/>
      <c r="Y1067" s="240"/>
    </row>
    <row r="1068" ht="15.75" customHeight="1">
      <c r="A1068" s="238"/>
      <c r="B1068" s="239"/>
      <c r="C1068" s="238" t="s">
        <v>468</v>
      </c>
      <c r="D1068" s="238"/>
      <c r="E1068" s="238"/>
      <c r="F1068" s="240"/>
      <c r="G1068" s="240"/>
      <c r="H1068" s="240"/>
      <c r="I1068" s="240"/>
      <c r="J1068" s="240"/>
      <c r="K1068" s="240"/>
      <c r="L1068" s="240"/>
      <c r="M1068" s="240"/>
      <c r="N1068" s="240"/>
      <c r="O1068" s="240"/>
      <c r="P1068" s="240"/>
      <c r="Q1068" s="240"/>
      <c r="R1068" s="240"/>
      <c r="S1068" s="240"/>
      <c r="T1068" s="240"/>
      <c r="U1068" s="240"/>
      <c r="V1068" s="240"/>
      <c r="W1068" s="240"/>
      <c r="X1068" s="240"/>
      <c r="Y1068" s="240"/>
    </row>
    <row r="1069" ht="15.75" customHeight="1">
      <c r="A1069" s="238"/>
      <c r="B1069" s="239"/>
      <c r="C1069" s="238" t="s">
        <v>468</v>
      </c>
      <c r="D1069" s="238"/>
      <c r="E1069" s="238"/>
      <c r="F1069" s="240"/>
      <c r="G1069" s="240"/>
      <c r="H1069" s="240"/>
      <c r="I1069" s="240"/>
      <c r="J1069" s="240"/>
      <c r="K1069" s="240"/>
      <c r="L1069" s="240"/>
      <c r="M1069" s="240"/>
      <c r="N1069" s="240"/>
      <c r="O1069" s="240"/>
      <c r="P1069" s="240"/>
      <c r="Q1069" s="240"/>
      <c r="R1069" s="240"/>
      <c r="S1069" s="240"/>
      <c r="T1069" s="240"/>
      <c r="U1069" s="240"/>
      <c r="V1069" s="240"/>
      <c r="W1069" s="240"/>
      <c r="X1069" s="240"/>
      <c r="Y1069" s="240"/>
    </row>
    <row r="1070" ht="15.75" customHeight="1">
      <c r="A1070" s="238"/>
      <c r="B1070" s="239"/>
      <c r="C1070" s="238" t="s">
        <v>468</v>
      </c>
      <c r="D1070" s="238"/>
      <c r="E1070" s="238"/>
      <c r="F1070" s="240"/>
      <c r="G1070" s="240"/>
      <c r="H1070" s="240"/>
      <c r="I1070" s="240"/>
      <c r="J1070" s="240"/>
      <c r="K1070" s="240"/>
      <c r="L1070" s="240"/>
      <c r="M1070" s="240"/>
      <c r="N1070" s="240"/>
      <c r="O1070" s="240"/>
      <c r="P1070" s="240"/>
      <c r="Q1070" s="240"/>
      <c r="R1070" s="240"/>
      <c r="S1070" s="240"/>
      <c r="T1070" s="240"/>
      <c r="U1070" s="240"/>
      <c r="V1070" s="240"/>
      <c r="W1070" s="240"/>
      <c r="X1070" s="240"/>
      <c r="Y1070" s="240"/>
    </row>
    <row r="1071" ht="15.75" customHeight="1">
      <c r="A1071" s="238"/>
      <c r="B1071" s="239"/>
      <c r="C1071" s="238" t="s">
        <v>468</v>
      </c>
      <c r="D1071" s="238"/>
      <c r="E1071" s="238"/>
      <c r="F1071" s="240"/>
      <c r="G1071" s="240"/>
      <c r="H1071" s="240"/>
      <c r="I1071" s="240"/>
      <c r="J1071" s="240"/>
      <c r="K1071" s="240"/>
      <c r="L1071" s="240"/>
      <c r="M1071" s="240"/>
      <c r="N1071" s="240"/>
      <c r="O1071" s="240"/>
      <c r="P1071" s="240"/>
      <c r="Q1071" s="240"/>
      <c r="R1071" s="240"/>
      <c r="S1071" s="240"/>
      <c r="T1071" s="240"/>
      <c r="U1071" s="240"/>
      <c r="V1071" s="240"/>
      <c r="W1071" s="240"/>
      <c r="X1071" s="240"/>
      <c r="Y1071" s="240"/>
    </row>
    <row r="1072" ht="15.75" customHeight="1">
      <c r="A1072" s="238"/>
      <c r="B1072" s="239"/>
      <c r="C1072" s="238" t="s">
        <v>468</v>
      </c>
      <c r="D1072" s="238"/>
      <c r="E1072" s="238"/>
      <c r="F1072" s="240"/>
      <c r="G1072" s="240"/>
      <c r="H1072" s="240"/>
      <c r="I1072" s="240"/>
      <c r="J1072" s="240"/>
      <c r="K1072" s="240"/>
      <c r="L1072" s="240"/>
      <c r="M1072" s="240"/>
      <c r="N1072" s="240"/>
      <c r="O1072" s="240"/>
      <c r="P1072" s="240"/>
      <c r="Q1072" s="240"/>
      <c r="R1072" s="240"/>
      <c r="S1072" s="240"/>
      <c r="T1072" s="240"/>
      <c r="U1072" s="240"/>
      <c r="V1072" s="240"/>
      <c r="W1072" s="240"/>
      <c r="X1072" s="240"/>
      <c r="Y1072" s="240"/>
    </row>
    <row r="1073" ht="15.75" customHeight="1">
      <c r="A1073" s="238"/>
      <c r="B1073" s="239"/>
      <c r="C1073" s="238" t="s">
        <v>468</v>
      </c>
      <c r="D1073" s="238"/>
      <c r="E1073" s="238"/>
      <c r="F1073" s="240"/>
      <c r="G1073" s="240"/>
      <c r="H1073" s="240"/>
      <c r="I1073" s="240"/>
      <c r="J1073" s="240"/>
      <c r="K1073" s="240"/>
      <c r="L1073" s="240"/>
      <c r="M1073" s="240"/>
      <c r="N1073" s="240"/>
      <c r="O1073" s="240"/>
      <c r="P1073" s="240"/>
      <c r="Q1073" s="240"/>
      <c r="R1073" s="240"/>
      <c r="S1073" s="240"/>
      <c r="T1073" s="240"/>
      <c r="U1073" s="240"/>
      <c r="V1073" s="240"/>
      <c r="W1073" s="240"/>
      <c r="X1073" s="240"/>
      <c r="Y1073" s="240"/>
    </row>
    <row r="1074" ht="15.75" customHeight="1">
      <c r="A1074" s="238"/>
      <c r="B1074" s="239"/>
      <c r="C1074" s="238" t="s">
        <v>468</v>
      </c>
      <c r="D1074" s="238"/>
      <c r="E1074" s="238"/>
      <c r="F1074" s="240"/>
      <c r="G1074" s="240"/>
      <c r="H1074" s="240"/>
      <c r="I1074" s="240"/>
      <c r="J1074" s="240"/>
      <c r="K1074" s="240"/>
      <c r="L1074" s="240"/>
      <c r="M1074" s="240"/>
      <c r="N1074" s="240"/>
      <c r="O1074" s="240"/>
      <c r="P1074" s="240"/>
      <c r="Q1074" s="240"/>
      <c r="R1074" s="240"/>
      <c r="S1074" s="240"/>
      <c r="T1074" s="240"/>
      <c r="U1074" s="240"/>
      <c r="V1074" s="240"/>
      <c r="W1074" s="240"/>
      <c r="X1074" s="240"/>
      <c r="Y1074" s="240"/>
    </row>
    <row r="1075" ht="15.75" customHeight="1">
      <c r="A1075" s="238"/>
      <c r="B1075" s="239"/>
      <c r="C1075" s="238" t="s">
        <v>468</v>
      </c>
      <c r="D1075" s="238"/>
      <c r="E1075" s="238"/>
      <c r="F1075" s="240"/>
      <c r="G1075" s="240"/>
      <c r="H1075" s="240"/>
      <c r="I1075" s="240"/>
      <c r="J1075" s="240"/>
      <c r="K1075" s="240"/>
      <c r="L1075" s="240"/>
      <c r="M1075" s="240"/>
      <c r="N1075" s="240"/>
      <c r="O1075" s="240"/>
      <c r="P1075" s="240"/>
      <c r="Q1075" s="240"/>
      <c r="R1075" s="240"/>
      <c r="S1075" s="240"/>
      <c r="T1075" s="240"/>
      <c r="U1075" s="240"/>
      <c r="V1075" s="240"/>
      <c r="W1075" s="240"/>
      <c r="X1075" s="240"/>
      <c r="Y1075" s="240"/>
    </row>
    <row r="1076" ht="15.75" customHeight="1">
      <c r="A1076" s="238"/>
      <c r="B1076" s="239"/>
      <c r="C1076" s="238" t="s">
        <v>468</v>
      </c>
      <c r="D1076" s="238"/>
      <c r="E1076" s="238"/>
      <c r="F1076" s="240"/>
      <c r="G1076" s="240"/>
      <c r="H1076" s="240"/>
      <c r="I1076" s="240"/>
      <c r="J1076" s="240"/>
      <c r="K1076" s="240"/>
      <c r="L1076" s="240"/>
      <c r="M1076" s="240"/>
      <c r="N1076" s="240"/>
      <c r="O1076" s="240"/>
      <c r="P1076" s="240"/>
      <c r="Q1076" s="240"/>
      <c r="R1076" s="240"/>
      <c r="S1076" s="240"/>
      <c r="T1076" s="240"/>
      <c r="U1076" s="240"/>
      <c r="V1076" s="240"/>
      <c r="W1076" s="240"/>
      <c r="X1076" s="240"/>
      <c r="Y1076" s="240"/>
    </row>
    <row r="1077" ht="15.75" customHeight="1">
      <c r="A1077" s="238"/>
      <c r="B1077" s="239"/>
      <c r="C1077" s="238" t="s">
        <v>468</v>
      </c>
      <c r="D1077" s="238"/>
      <c r="E1077" s="238"/>
      <c r="F1077" s="240"/>
      <c r="G1077" s="240"/>
      <c r="H1077" s="240"/>
      <c r="I1077" s="240"/>
      <c r="J1077" s="240"/>
      <c r="K1077" s="240"/>
      <c r="L1077" s="240"/>
      <c r="M1077" s="240"/>
      <c r="N1077" s="240"/>
      <c r="O1077" s="240"/>
      <c r="P1077" s="240"/>
      <c r="Q1077" s="240"/>
      <c r="R1077" s="240"/>
      <c r="S1077" s="240"/>
      <c r="T1077" s="240"/>
      <c r="U1077" s="240"/>
      <c r="V1077" s="240"/>
      <c r="W1077" s="240"/>
      <c r="X1077" s="240"/>
      <c r="Y1077" s="240"/>
    </row>
    <row r="1078" ht="15.75" customHeight="1">
      <c r="A1078" s="238"/>
      <c r="B1078" s="239"/>
      <c r="C1078" s="238" t="s">
        <v>468</v>
      </c>
      <c r="D1078" s="238"/>
      <c r="E1078" s="238"/>
      <c r="F1078" s="240"/>
      <c r="G1078" s="240"/>
      <c r="H1078" s="240"/>
      <c r="I1078" s="240"/>
      <c r="J1078" s="240"/>
      <c r="K1078" s="240"/>
      <c r="L1078" s="240"/>
      <c r="M1078" s="240"/>
      <c r="N1078" s="240"/>
      <c r="O1078" s="240"/>
      <c r="P1078" s="240"/>
      <c r="Q1078" s="240"/>
      <c r="R1078" s="240"/>
      <c r="S1078" s="240"/>
      <c r="T1078" s="240"/>
      <c r="U1078" s="240"/>
      <c r="V1078" s="240"/>
      <c r="W1078" s="240"/>
      <c r="X1078" s="240"/>
      <c r="Y1078" s="240"/>
    </row>
    <row r="1079" ht="15.75" customHeight="1">
      <c r="A1079" s="238"/>
      <c r="B1079" s="239"/>
      <c r="C1079" s="238" t="s">
        <v>468</v>
      </c>
      <c r="D1079" s="238"/>
      <c r="E1079" s="238"/>
      <c r="F1079" s="240"/>
      <c r="G1079" s="240"/>
      <c r="H1079" s="240"/>
      <c r="I1079" s="240"/>
      <c r="J1079" s="240"/>
      <c r="K1079" s="240"/>
      <c r="L1079" s="240"/>
      <c r="M1079" s="240"/>
      <c r="N1079" s="240"/>
      <c r="O1079" s="240"/>
      <c r="P1079" s="240"/>
      <c r="Q1079" s="240"/>
      <c r="R1079" s="240"/>
      <c r="S1079" s="240"/>
      <c r="T1079" s="240"/>
      <c r="U1079" s="240"/>
      <c r="V1079" s="240"/>
      <c r="W1079" s="240"/>
      <c r="X1079" s="240"/>
      <c r="Y1079" s="240"/>
    </row>
    <row r="1080" ht="15.75" customHeight="1">
      <c r="A1080" s="238"/>
      <c r="B1080" s="239"/>
      <c r="C1080" s="238" t="s">
        <v>468</v>
      </c>
      <c r="D1080" s="238"/>
      <c r="E1080" s="238"/>
      <c r="F1080" s="240"/>
      <c r="G1080" s="240"/>
      <c r="H1080" s="240"/>
      <c r="I1080" s="240"/>
      <c r="J1080" s="240"/>
      <c r="K1080" s="240"/>
      <c r="L1080" s="240"/>
      <c r="M1080" s="240"/>
      <c r="N1080" s="240"/>
      <c r="O1080" s="240"/>
      <c r="P1080" s="240"/>
      <c r="Q1080" s="240"/>
      <c r="R1080" s="240"/>
      <c r="S1080" s="240"/>
      <c r="T1080" s="240"/>
      <c r="U1080" s="240"/>
      <c r="V1080" s="240"/>
      <c r="W1080" s="240"/>
      <c r="X1080" s="240"/>
      <c r="Y1080" s="240"/>
    </row>
    <row r="1081" ht="15.75" customHeight="1">
      <c r="A1081" s="238"/>
      <c r="B1081" s="239"/>
      <c r="C1081" s="238" t="s">
        <v>468</v>
      </c>
      <c r="D1081" s="238"/>
      <c r="E1081" s="238"/>
      <c r="F1081" s="240"/>
      <c r="G1081" s="240"/>
      <c r="H1081" s="240"/>
      <c r="I1081" s="240"/>
      <c r="J1081" s="240"/>
      <c r="K1081" s="240"/>
      <c r="L1081" s="240"/>
      <c r="M1081" s="240"/>
      <c r="N1081" s="240"/>
      <c r="O1081" s="240"/>
      <c r="P1081" s="240"/>
      <c r="Q1081" s="240"/>
      <c r="R1081" s="240"/>
      <c r="S1081" s="240"/>
      <c r="T1081" s="240"/>
      <c r="U1081" s="240"/>
      <c r="V1081" s="240"/>
      <c r="W1081" s="240"/>
      <c r="X1081" s="240"/>
      <c r="Y1081" s="240"/>
    </row>
    <row r="1082" ht="15.75" customHeight="1">
      <c r="A1082" s="238"/>
      <c r="B1082" s="239"/>
      <c r="C1082" s="238" t="s">
        <v>468</v>
      </c>
      <c r="D1082" s="238"/>
      <c r="E1082" s="238"/>
      <c r="F1082" s="240"/>
      <c r="G1082" s="240"/>
      <c r="H1082" s="240"/>
      <c r="I1082" s="240"/>
      <c r="J1082" s="240"/>
      <c r="K1082" s="240"/>
      <c r="L1082" s="240"/>
      <c r="M1082" s="240"/>
      <c r="N1082" s="240"/>
      <c r="O1082" s="240"/>
      <c r="P1082" s="240"/>
      <c r="Q1082" s="240"/>
      <c r="R1082" s="240"/>
      <c r="S1082" s="240"/>
      <c r="T1082" s="240"/>
      <c r="U1082" s="240"/>
      <c r="V1082" s="240"/>
      <c r="W1082" s="240"/>
      <c r="X1082" s="240"/>
      <c r="Y1082" s="240"/>
    </row>
    <row r="1083" ht="15.75" customHeight="1">
      <c r="A1083" s="238"/>
      <c r="B1083" s="239"/>
      <c r="C1083" s="238" t="s">
        <v>468</v>
      </c>
      <c r="D1083" s="238"/>
      <c r="E1083" s="238"/>
      <c r="F1083" s="240"/>
      <c r="G1083" s="240"/>
      <c r="H1083" s="240"/>
      <c r="I1083" s="240"/>
      <c r="J1083" s="240"/>
      <c r="K1083" s="240"/>
      <c r="L1083" s="240"/>
      <c r="M1083" s="240"/>
      <c r="N1083" s="240"/>
      <c r="O1083" s="240"/>
      <c r="P1083" s="240"/>
      <c r="Q1083" s="240"/>
      <c r="R1083" s="240"/>
      <c r="S1083" s="240"/>
      <c r="T1083" s="240"/>
      <c r="U1083" s="240"/>
      <c r="V1083" s="240"/>
      <c r="W1083" s="240"/>
      <c r="X1083" s="240"/>
      <c r="Y1083" s="240"/>
    </row>
    <row r="1084" ht="15.75" customHeight="1">
      <c r="A1084" s="238"/>
      <c r="B1084" s="239"/>
      <c r="C1084" s="238" t="s">
        <v>468</v>
      </c>
      <c r="D1084" s="238"/>
      <c r="E1084" s="238"/>
      <c r="F1084" s="240"/>
      <c r="G1084" s="240"/>
      <c r="H1084" s="240"/>
      <c r="I1084" s="240"/>
      <c r="J1084" s="240"/>
      <c r="K1084" s="240"/>
      <c r="L1084" s="240"/>
      <c r="M1084" s="240"/>
      <c r="N1084" s="240"/>
      <c r="O1084" s="240"/>
      <c r="P1084" s="240"/>
      <c r="Q1084" s="240"/>
      <c r="R1084" s="240"/>
      <c r="S1084" s="240"/>
      <c r="T1084" s="240"/>
      <c r="U1084" s="240"/>
      <c r="V1084" s="240"/>
      <c r="W1084" s="240"/>
      <c r="X1084" s="240"/>
      <c r="Y1084" s="240"/>
    </row>
    <row r="1085" ht="15.75" customHeight="1">
      <c r="A1085" s="238"/>
      <c r="B1085" s="239"/>
      <c r="C1085" s="238" t="s">
        <v>468</v>
      </c>
      <c r="D1085" s="238"/>
      <c r="E1085" s="238"/>
      <c r="F1085" s="240"/>
      <c r="G1085" s="240"/>
      <c r="H1085" s="240"/>
      <c r="I1085" s="240"/>
      <c r="J1085" s="240"/>
      <c r="K1085" s="240"/>
      <c r="L1085" s="240"/>
      <c r="M1085" s="240"/>
      <c r="N1085" s="240"/>
      <c r="O1085" s="240"/>
      <c r="P1085" s="240"/>
      <c r="Q1085" s="240"/>
      <c r="R1085" s="240"/>
      <c r="S1085" s="240"/>
      <c r="T1085" s="240"/>
      <c r="U1085" s="240"/>
      <c r="V1085" s="240"/>
      <c r="W1085" s="240"/>
      <c r="X1085" s="240"/>
      <c r="Y1085" s="240"/>
    </row>
    <row r="1086" ht="15.75" customHeight="1">
      <c r="A1086" s="238"/>
      <c r="B1086" s="239"/>
      <c r="C1086" s="238" t="s">
        <v>468</v>
      </c>
      <c r="D1086" s="238"/>
      <c r="E1086" s="238"/>
      <c r="F1086" s="240"/>
      <c r="G1086" s="240"/>
      <c r="H1086" s="240"/>
      <c r="I1086" s="240"/>
      <c r="J1086" s="240"/>
      <c r="K1086" s="240"/>
      <c r="L1086" s="240"/>
      <c r="M1086" s="240"/>
      <c r="N1086" s="240"/>
      <c r="O1086" s="240"/>
      <c r="P1086" s="240"/>
      <c r="Q1086" s="240"/>
      <c r="R1086" s="240"/>
      <c r="S1086" s="240"/>
      <c r="T1086" s="240"/>
      <c r="U1086" s="240"/>
      <c r="V1086" s="240"/>
      <c r="W1086" s="240"/>
      <c r="X1086" s="240"/>
      <c r="Y1086" s="240"/>
    </row>
    <row r="1087" ht="15.75" customHeight="1">
      <c r="A1087" s="238"/>
      <c r="B1087" s="239"/>
      <c r="C1087" s="238" t="s">
        <v>468</v>
      </c>
      <c r="D1087" s="238"/>
      <c r="E1087" s="238"/>
      <c r="F1087" s="240"/>
      <c r="G1087" s="240"/>
      <c r="H1087" s="240"/>
      <c r="I1087" s="240"/>
      <c r="J1087" s="240"/>
      <c r="K1087" s="240"/>
      <c r="L1087" s="240"/>
      <c r="M1087" s="240"/>
      <c r="N1087" s="240"/>
      <c r="O1087" s="240"/>
      <c r="P1087" s="240"/>
      <c r="Q1087" s="240"/>
      <c r="R1087" s="240"/>
      <c r="S1087" s="240"/>
      <c r="T1087" s="240"/>
      <c r="U1087" s="240"/>
      <c r="V1087" s="240"/>
      <c r="W1087" s="240"/>
      <c r="X1087" s="240"/>
      <c r="Y1087" s="240"/>
    </row>
    <row r="1088" ht="15.75" customHeight="1">
      <c r="A1088" s="238"/>
      <c r="B1088" s="239"/>
      <c r="C1088" s="238" t="s">
        <v>468</v>
      </c>
      <c r="D1088" s="238"/>
      <c r="E1088" s="238"/>
      <c r="F1088" s="240"/>
      <c r="G1088" s="240"/>
      <c r="H1088" s="240"/>
      <c r="I1088" s="240"/>
      <c r="J1088" s="240"/>
      <c r="K1088" s="240"/>
      <c r="L1088" s="240"/>
      <c r="M1088" s="240"/>
      <c r="N1088" s="240"/>
      <c r="O1088" s="240"/>
      <c r="P1088" s="240"/>
      <c r="Q1088" s="240"/>
      <c r="R1088" s="240"/>
      <c r="S1088" s="240"/>
      <c r="T1088" s="240"/>
      <c r="U1088" s="240"/>
      <c r="V1088" s="240"/>
      <c r="W1088" s="240"/>
      <c r="X1088" s="240"/>
      <c r="Y1088" s="240"/>
    </row>
    <row r="1089" ht="15.75" customHeight="1">
      <c r="A1089" s="238"/>
      <c r="B1089" s="239"/>
      <c r="C1089" s="238" t="s">
        <v>468</v>
      </c>
      <c r="D1089" s="238"/>
      <c r="E1089" s="238"/>
      <c r="F1089" s="240"/>
      <c r="G1089" s="240"/>
      <c r="H1089" s="240"/>
      <c r="I1089" s="240"/>
      <c r="J1089" s="240"/>
      <c r="K1089" s="240"/>
      <c r="L1089" s="240"/>
      <c r="M1089" s="240"/>
      <c r="N1089" s="240"/>
      <c r="O1089" s="240"/>
      <c r="P1089" s="240"/>
      <c r="Q1089" s="240"/>
      <c r="R1089" s="240"/>
      <c r="S1089" s="240"/>
      <c r="T1089" s="240"/>
      <c r="U1089" s="240"/>
      <c r="V1089" s="240"/>
      <c r="W1089" s="240"/>
      <c r="X1089" s="240"/>
      <c r="Y1089" s="240"/>
    </row>
    <row r="1090" ht="15.75" customHeight="1">
      <c r="A1090" s="238"/>
      <c r="B1090" s="239"/>
      <c r="C1090" s="238" t="s">
        <v>468</v>
      </c>
      <c r="D1090" s="238"/>
      <c r="E1090" s="238"/>
      <c r="F1090" s="240"/>
      <c r="G1090" s="240"/>
      <c r="H1090" s="240"/>
      <c r="I1090" s="240"/>
      <c r="J1090" s="240"/>
      <c r="K1090" s="240"/>
      <c r="L1090" s="240"/>
      <c r="M1090" s="240"/>
      <c r="N1090" s="240"/>
      <c r="O1090" s="240"/>
      <c r="P1090" s="240"/>
      <c r="Q1090" s="240"/>
      <c r="R1090" s="240"/>
      <c r="S1090" s="240"/>
      <c r="T1090" s="240"/>
      <c r="U1090" s="240"/>
      <c r="V1090" s="240"/>
      <c r="W1090" s="240"/>
      <c r="X1090" s="240"/>
      <c r="Y1090" s="240"/>
    </row>
    <row r="1091" ht="15.75" customHeight="1">
      <c r="A1091" s="238"/>
      <c r="B1091" s="239"/>
      <c r="C1091" s="238" t="s">
        <v>468</v>
      </c>
      <c r="D1091" s="238"/>
      <c r="E1091" s="238"/>
      <c r="F1091" s="240"/>
      <c r="G1091" s="240"/>
      <c r="H1091" s="240"/>
      <c r="I1091" s="240"/>
      <c r="J1091" s="240"/>
      <c r="K1091" s="240"/>
      <c r="L1091" s="240"/>
      <c r="M1091" s="240"/>
      <c r="N1091" s="240"/>
      <c r="O1091" s="240"/>
      <c r="P1091" s="240"/>
      <c r="Q1091" s="240"/>
      <c r="R1091" s="240"/>
      <c r="S1091" s="240"/>
      <c r="T1091" s="240"/>
      <c r="U1091" s="240"/>
      <c r="V1091" s="240"/>
      <c r="W1091" s="240"/>
      <c r="X1091" s="240"/>
      <c r="Y1091" s="240"/>
    </row>
    <row r="1092" ht="15.75" customHeight="1">
      <c r="A1092" s="238"/>
      <c r="B1092" s="239"/>
      <c r="C1092" s="238" t="s">
        <v>468</v>
      </c>
      <c r="D1092" s="238"/>
      <c r="E1092" s="238"/>
      <c r="F1092" s="240"/>
      <c r="G1092" s="240"/>
      <c r="H1092" s="240"/>
      <c r="I1092" s="240"/>
      <c r="J1092" s="240"/>
      <c r="K1092" s="240"/>
      <c r="L1092" s="240"/>
      <c r="M1092" s="240"/>
      <c r="N1092" s="240"/>
      <c r="O1092" s="240"/>
      <c r="P1092" s="240"/>
      <c r="Q1092" s="240"/>
      <c r="R1092" s="240"/>
      <c r="S1092" s="240"/>
      <c r="T1092" s="240"/>
      <c r="U1092" s="240"/>
      <c r="V1092" s="240"/>
      <c r="W1092" s="240"/>
      <c r="X1092" s="240"/>
      <c r="Y1092" s="240"/>
    </row>
    <row r="1093" ht="15.75" customHeight="1">
      <c r="A1093" s="238"/>
      <c r="B1093" s="239"/>
      <c r="C1093" s="238" t="s">
        <v>468</v>
      </c>
      <c r="D1093" s="238"/>
      <c r="E1093" s="238"/>
      <c r="F1093" s="240"/>
      <c r="G1093" s="240"/>
      <c r="H1093" s="240"/>
      <c r="I1093" s="240"/>
      <c r="J1093" s="240"/>
      <c r="K1093" s="240"/>
      <c r="L1093" s="240"/>
      <c r="M1093" s="240"/>
      <c r="N1093" s="240"/>
      <c r="O1093" s="240"/>
      <c r="P1093" s="240"/>
      <c r="Q1093" s="240"/>
      <c r="R1093" s="240"/>
      <c r="S1093" s="240"/>
      <c r="T1093" s="240"/>
      <c r="U1093" s="240"/>
      <c r="V1093" s="240"/>
      <c r="W1093" s="240"/>
      <c r="X1093" s="240"/>
      <c r="Y1093" s="240"/>
    </row>
    <row r="1094" ht="15.75" customHeight="1">
      <c r="A1094" s="238"/>
      <c r="B1094" s="239"/>
      <c r="C1094" s="238" t="s">
        <v>468</v>
      </c>
      <c r="D1094" s="238"/>
      <c r="E1094" s="238"/>
      <c r="F1094" s="240"/>
      <c r="G1094" s="240"/>
      <c r="H1094" s="240"/>
      <c r="I1094" s="240"/>
      <c r="J1094" s="240"/>
      <c r="K1094" s="240"/>
      <c r="L1094" s="240"/>
      <c r="M1094" s="240"/>
      <c r="N1094" s="240"/>
      <c r="O1094" s="240"/>
      <c r="P1094" s="240"/>
      <c r="Q1094" s="240"/>
      <c r="R1094" s="240"/>
      <c r="S1094" s="240"/>
      <c r="T1094" s="240"/>
      <c r="U1094" s="240"/>
      <c r="V1094" s="240"/>
      <c r="W1094" s="240"/>
      <c r="X1094" s="240"/>
      <c r="Y1094" s="240"/>
    </row>
    <row r="1095" ht="15.75" customHeight="1">
      <c r="A1095" s="238"/>
      <c r="B1095" s="239"/>
      <c r="C1095" s="238" t="s">
        <v>468</v>
      </c>
      <c r="D1095" s="238"/>
      <c r="E1095" s="238"/>
      <c r="F1095" s="240"/>
      <c r="G1095" s="240"/>
      <c r="H1095" s="240"/>
      <c r="I1095" s="240"/>
      <c r="J1095" s="240"/>
      <c r="K1095" s="240"/>
      <c r="L1095" s="240"/>
      <c r="M1095" s="240"/>
      <c r="N1095" s="240"/>
      <c r="O1095" s="240"/>
      <c r="P1095" s="240"/>
      <c r="Q1095" s="240"/>
      <c r="R1095" s="240"/>
      <c r="S1095" s="240"/>
      <c r="T1095" s="240"/>
      <c r="U1095" s="240"/>
      <c r="V1095" s="240"/>
      <c r="W1095" s="240"/>
      <c r="X1095" s="240"/>
      <c r="Y1095" s="240"/>
    </row>
    <row r="1096" ht="15.75" customHeight="1">
      <c r="A1096" s="238"/>
      <c r="B1096" s="239"/>
      <c r="C1096" s="238" t="s">
        <v>468</v>
      </c>
      <c r="D1096" s="238"/>
      <c r="E1096" s="238"/>
      <c r="F1096" s="240"/>
      <c r="G1096" s="240"/>
      <c r="H1096" s="240"/>
      <c r="I1096" s="240"/>
      <c r="J1096" s="240"/>
      <c r="K1096" s="240"/>
      <c r="L1096" s="240"/>
      <c r="M1096" s="240"/>
      <c r="N1096" s="240"/>
      <c r="O1096" s="240"/>
      <c r="P1096" s="240"/>
      <c r="Q1096" s="240"/>
      <c r="R1096" s="240"/>
      <c r="S1096" s="240"/>
      <c r="T1096" s="240"/>
      <c r="U1096" s="240"/>
      <c r="V1096" s="240"/>
      <c r="W1096" s="240"/>
      <c r="X1096" s="240"/>
      <c r="Y1096" s="240"/>
    </row>
    <row r="1097" ht="15.75" customHeight="1">
      <c r="A1097" s="238"/>
      <c r="B1097" s="239"/>
      <c r="C1097" s="238" t="s">
        <v>468</v>
      </c>
      <c r="D1097" s="238"/>
      <c r="E1097" s="238"/>
      <c r="F1097" s="240"/>
      <c r="G1097" s="240"/>
      <c r="H1097" s="240"/>
      <c r="I1097" s="240"/>
      <c r="J1097" s="240"/>
      <c r="K1097" s="240"/>
      <c r="L1097" s="240"/>
      <c r="M1097" s="240"/>
      <c r="N1097" s="240"/>
      <c r="O1097" s="240"/>
      <c r="P1097" s="240"/>
      <c r="Q1097" s="240"/>
      <c r="R1097" s="240"/>
      <c r="S1097" s="240"/>
      <c r="T1097" s="240"/>
      <c r="U1097" s="240"/>
      <c r="V1097" s="240"/>
      <c r="W1097" s="240"/>
      <c r="X1097" s="240"/>
      <c r="Y1097" s="240"/>
    </row>
    <row r="1098" ht="15.75" customHeight="1">
      <c r="A1098" s="238"/>
      <c r="B1098" s="239"/>
      <c r="C1098" s="238" t="s">
        <v>468</v>
      </c>
      <c r="D1098" s="238"/>
      <c r="E1098" s="238"/>
      <c r="F1098" s="240"/>
      <c r="G1098" s="240"/>
      <c r="H1098" s="240"/>
      <c r="I1098" s="240"/>
      <c r="J1098" s="240"/>
      <c r="K1098" s="240"/>
      <c r="L1098" s="240"/>
      <c r="M1098" s="240"/>
      <c r="N1098" s="240"/>
      <c r="O1098" s="240"/>
      <c r="P1098" s="240"/>
      <c r="Q1098" s="240"/>
      <c r="R1098" s="240"/>
      <c r="S1098" s="240"/>
      <c r="T1098" s="240"/>
      <c r="U1098" s="240"/>
      <c r="V1098" s="240"/>
      <c r="W1098" s="240"/>
      <c r="X1098" s="240"/>
      <c r="Y1098" s="240"/>
    </row>
    <row r="1099" ht="15.75" customHeight="1">
      <c r="A1099" s="238"/>
      <c r="B1099" s="239"/>
      <c r="C1099" s="238" t="s">
        <v>468</v>
      </c>
      <c r="D1099" s="238"/>
      <c r="E1099" s="238"/>
      <c r="F1099" s="240"/>
      <c r="G1099" s="240"/>
      <c r="H1099" s="240"/>
      <c r="I1099" s="240"/>
      <c r="J1099" s="240"/>
      <c r="K1099" s="240"/>
      <c r="L1099" s="240"/>
      <c r="M1099" s="240"/>
      <c r="N1099" s="240"/>
      <c r="O1099" s="240"/>
      <c r="P1099" s="240"/>
      <c r="Q1099" s="240"/>
      <c r="R1099" s="240"/>
      <c r="S1099" s="240"/>
      <c r="T1099" s="240"/>
      <c r="U1099" s="240"/>
      <c r="V1099" s="240"/>
      <c r="W1099" s="240"/>
      <c r="X1099" s="240"/>
      <c r="Y1099" s="240"/>
    </row>
    <row r="1100" ht="15.75" customHeight="1">
      <c r="A1100" s="238"/>
      <c r="B1100" s="239"/>
      <c r="C1100" s="238" t="s">
        <v>468</v>
      </c>
      <c r="D1100" s="238"/>
      <c r="E1100" s="238"/>
      <c r="F1100" s="240"/>
      <c r="G1100" s="240"/>
      <c r="H1100" s="240"/>
      <c r="I1100" s="240"/>
      <c r="J1100" s="240"/>
      <c r="K1100" s="240"/>
      <c r="L1100" s="240"/>
      <c r="M1100" s="240"/>
      <c r="N1100" s="240"/>
      <c r="O1100" s="240"/>
      <c r="P1100" s="240"/>
      <c r="Q1100" s="240"/>
      <c r="R1100" s="240"/>
      <c r="S1100" s="240"/>
      <c r="T1100" s="240"/>
      <c r="U1100" s="240"/>
      <c r="V1100" s="240"/>
      <c r="W1100" s="240"/>
      <c r="X1100" s="240"/>
      <c r="Y1100" s="240"/>
    </row>
    <row r="1101" ht="15.75" customHeight="1">
      <c r="A1101" s="238"/>
      <c r="B1101" s="239"/>
      <c r="C1101" s="238" t="s">
        <v>468</v>
      </c>
      <c r="D1101" s="238"/>
      <c r="E1101" s="238"/>
      <c r="F1101" s="240"/>
      <c r="G1101" s="240"/>
      <c r="H1101" s="240"/>
      <c r="I1101" s="240"/>
      <c r="J1101" s="240"/>
      <c r="K1101" s="240"/>
      <c r="L1101" s="240"/>
      <c r="M1101" s="240"/>
      <c r="N1101" s="240"/>
      <c r="O1101" s="240"/>
      <c r="P1101" s="240"/>
      <c r="Q1101" s="240"/>
      <c r="R1101" s="240"/>
      <c r="S1101" s="240"/>
      <c r="T1101" s="240"/>
      <c r="U1101" s="240"/>
      <c r="V1101" s="240"/>
      <c r="W1101" s="240"/>
      <c r="X1101" s="240"/>
      <c r="Y1101" s="240"/>
    </row>
    <row r="1102" ht="15.75" customHeight="1">
      <c r="A1102" s="238"/>
      <c r="B1102" s="239"/>
      <c r="C1102" s="238" t="s">
        <v>468</v>
      </c>
      <c r="D1102" s="238"/>
      <c r="E1102" s="238"/>
      <c r="F1102" s="240"/>
      <c r="G1102" s="240"/>
      <c r="H1102" s="240"/>
      <c r="I1102" s="240"/>
      <c r="J1102" s="240"/>
      <c r="K1102" s="240"/>
      <c r="L1102" s="240"/>
      <c r="M1102" s="240"/>
      <c r="N1102" s="240"/>
      <c r="O1102" s="240"/>
      <c r="P1102" s="240"/>
      <c r="Q1102" s="240"/>
      <c r="R1102" s="240"/>
      <c r="S1102" s="240"/>
      <c r="T1102" s="240"/>
      <c r="U1102" s="240"/>
      <c r="V1102" s="240"/>
      <c r="W1102" s="240"/>
      <c r="X1102" s="240"/>
      <c r="Y1102" s="240"/>
    </row>
    <row r="1103" ht="15.75" customHeight="1">
      <c r="A1103" s="238"/>
      <c r="B1103" s="239"/>
      <c r="C1103" s="238" t="s">
        <v>468</v>
      </c>
      <c r="D1103" s="238"/>
      <c r="E1103" s="238"/>
      <c r="F1103" s="240"/>
      <c r="G1103" s="240"/>
      <c r="H1103" s="240"/>
      <c r="I1103" s="240"/>
      <c r="J1103" s="240"/>
      <c r="K1103" s="240"/>
      <c r="L1103" s="240"/>
      <c r="M1103" s="240"/>
      <c r="N1103" s="240"/>
      <c r="O1103" s="240"/>
      <c r="P1103" s="240"/>
      <c r="Q1103" s="240"/>
      <c r="R1103" s="240"/>
      <c r="S1103" s="240"/>
      <c r="T1103" s="240"/>
      <c r="U1103" s="240"/>
      <c r="V1103" s="240"/>
      <c r="W1103" s="240"/>
      <c r="X1103" s="240"/>
      <c r="Y1103" s="240"/>
    </row>
    <row r="1104" ht="15.75" customHeight="1">
      <c r="A1104" s="238"/>
      <c r="B1104" s="239"/>
      <c r="C1104" s="238" t="s">
        <v>468</v>
      </c>
      <c r="D1104" s="238"/>
      <c r="E1104" s="238"/>
      <c r="F1104" s="240"/>
      <c r="G1104" s="240"/>
      <c r="H1104" s="240"/>
      <c r="I1104" s="240"/>
      <c r="J1104" s="240"/>
      <c r="K1104" s="240"/>
      <c r="L1104" s="240"/>
      <c r="M1104" s="240"/>
      <c r="N1104" s="240"/>
      <c r="O1104" s="240"/>
      <c r="P1104" s="240"/>
      <c r="Q1104" s="240"/>
      <c r="R1104" s="240"/>
      <c r="S1104" s="240"/>
      <c r="T1104" s="240"/>
      <c r="U1104" s="240"/>
      <c r="V1104" s="240"/>
      <c r="W1104" s="240"/>
      <c r="X1104" s="240"/>
      <c r="Y1104" s="240"/>
    </row>
    <row r="1105" ht="15.75" customHeight="1">
      <c r="A1105" s="238"/>
      <c r="B1105" s="239"/>
      <c r="C1105" s="238" t="s">
        <v>468</v>
      </c>
      <c r="D1105" s="238"/>
      <c r="E1105" s="238"/>
      <c r="F1105" s="240"/>
      <c r="G1105" s="240"/>
      <c r="H1105" s="240"/>
      <c r="I1105" s="240"/>
      <c r="J1105" s="240"/>
      <c r="K1105" s="240"/>
      <c r="L1105" s="240"/>
      <c r="M1105" s="240"/>
      <c r="N1105" s="240"/>
      <c r="O1105" s="240"/>
      <c r="P1105" s="240"/>
      <c r="Q1105" s="240"/>
      <c r="R1105" s="240"/>
      <c r="S1105" s="240"/>
      <c r="T1105" s="240"/>
      <c r="U1105" s="240"/>
      <c r="V1105" s="240"/>
      <c r="W1105" s="240"/>
      <c r="X1105" s="240"/>
      <c r="Y1105" s="240"/>
    </row>
    <row r="1106" ht="15.75" customHeight="1">
      <c r="A1106" s="238"/>
      <c r="B1106" s="239"/>
      <c r="C1106" s="238" t="s">
        <v>468</v>
      </c>
      <c r="D1106" s="238"/>
      <c r="E1106" s="238"/>
      <c r="F1106" s="240"/>
      <c r="G1106" s="240"/>
      <c r="H1106" s="240"/>
      <c r="I1106" s="240"/>
      <c r="J1106" s="240"/>
      <c r="K1106" s="240"/>
      <c r="L1106" s="240"/>
      <c r="M1106" s="240"/>
      <c r="N1106" s="240"/>
      <c r="O1106" s="240"/>
      <c r="P1106" s="240"/>
      <c r="Q1106" s="240"/>
      <c r="R1106" s="240"/>
      <c r="S1106" s="240"/>
      <c r="T1106" s="240"/>
      <c r="U1106" s="240"/>
      <c r="V1106" s="240"/>
      <c r="W1106" s="240"/>
      <c r="X1106" s="240"/>
      <c r="Y1106" s="240"/>
    </row>
    <row r="1107" ht="15.75" customHeight="1">
      <c r="A1107" s="238"/>
      <c r="B1107" s="239"/>
      <c r="C1107" s="238" t="s">
        <v>468</v>
      </c>
      <c r="D1107" s="238"/>
      <c r="E1107" s="238"/>
      <c r="F1107" s="240"/>
      <c r="G1107" s="240"/>
      <c r="H1107" s="240"/>
      <c r="I1107" s="240"/>
      <c r="J1107" s="240"/>
      <c r="K1107" s="240"/>
      <c r="L1107" s="240"/>
      <c r="M1107" s="240"/>
      <c r="N1107" s="240"/>
      <c r="O1107" s="240"/>
      <c r="P1107" s="240"/>
      <c r="Q1107" s="240"/>
      <c r="R1107" s="240"/>
      <c r="S1107" s="240"/>
      <c r="T1107" s="240"/>
      <c r="U1107" s="240"/>
      <c r="V1107" s="240"/>
      <c r="W1107" s="240"/>
      <c r="X1107" s="240"/>
      <c r="Y1107" s="240"/>
    </row>
    <row r="1108" ht="15.75" customHeight="1">
      <c r="A1108" s="238"/>
      <c r="B1108" s="239"/>
      <c r="C1108" s="238" t="s">
        <v>468</v>
      </c>
      <c r="D1108" s="238"/>
      <c r="E1108" s="238"/>
      <c r="F1108" s="240"/>
      <c r="G1108" s="240"/>
      <c r="H1108" s="240"/>
      <c r="I1108" s="240"/>
      <c r="J1108" s="240"/>
      <c r="K1108" s="240"/>
      <c r="L1108" s="240"/>
      <c r="M1108" s="240"/>
      <c r="N1108" s="240"/>
      <c r="O1108" s="240"/>
      <c r="P1108" s="240"/>
      <c r="Q1108" s="240"/>
      <c r="R1108" s="240"/>
      <c r="S1108" s="240"/>
      <c r="T1108" s="240"/>
      <c r="U1108" s="240"/>
      <c r="V1108" s="240"/>
      <c r="W1108" s="240"/>
      <c r="X1108" s="240"/>
      <c r="Y1108" s="240"/>
    </row>
    <row r="1109" ht="15.75" customHeight="1">
      <c r="A1109" s="238"/>
      <c r="B1109" s="239"/>
      <c r="C1109" s="238" t="s">
        <v>468</v>
      </c>
      <c r="D1109" s="238"/>
      <c r="E1109" s="238"/>
      <c r="F1109" s="240"/>
      <c r="G1109" s="240"/>
      <c r="H1109" s="240"/>
      <c r="I1109" s="240"/>
      <c r="J1109" s="240"/>
      <c r="K1109" s="240"/>
      <c r="L1109" s="240"/>
      <c r="M1109" s="240"/>
      <c r="N1109" s="240"/>
      <c r="O1109" s="240"/>
      <c r="P1109" s="240"/>
      <c r="Q1109" s="240"/>
      <c r="R1109" s="240"/>
      <c r="S1109" s="240"/>
      <c r="T1109" s="240"/>
      <c r="U1109" s="240"/>
      <c r="V1109" s="240"/>
      <c r="W1109" s="240"/>
      <c r="X1109" s="240"/>
      <c r="Y1109" s="240"/>
    </row>
    <row r="1110" ht="15.75" customHeight="1">
      <c r="A1110" s="238"/>
      <c r="B1110" s="239"/>
      <c r="C1110" s="238" t="s">
        <v>468</v>
      </c>
      <c r="D1110" s="238"/>
      <c r="E1110" s="238"/>
      <c r="F1110" s="240"/>
      <c r="G1110" s="240"/>
      <c r="H1110" s="240"/>
      <c r="I1110" s="240"/>
      <c r="J1110" s="240"/>
      <c r="K1110" s="240"/>
      <c r="L1110" s="240"/>
      <c r="M1110" s="240"/>
      <c r="N1110" s="240"/>
      <c r="O1110" s="240"/>
      <c r="P1110" s="240"/>
      <c r="Q1110" s="240"/>
      <c r="R1110" s="240"/>
      <c r="S1110" s="240"/>
      <c r="T1110" s="240"/>
      <c r="U1110" s="240"/>
      <c r="V1110" s="240"/>
      <c r="W1110" s="240"/>
      <c r="X1110" s="240"/>
      <c r="Y1110" s="240"/>
    </row>
    <row r="1111" ht="15.75" customHeight="1">
      <c r="A1111" s="238"/>
      <c r="B1111" s="239"/>
      <c r="C1111" s="238" t="s">
        <v>468</v>
      </c>
      <c r="D1111" s="238"/>
      <c r="E1111" s="238"/>
      <c r="F1111" s="240"/>
      <c r="G1111" s="240"/>
      <c r="H1111" s="240"/>
      <c r="I1111" s="240"/>
      <c r="J1111" s="240"/>
      <c r="K1111" s="240"/>
      <c r="L1111" s="240"/>
      <c r="M1111" s="240"/>
      <c r="N1111" s="240"/>
      <c r="O1111" s="240"/>
      <c r="P1111" s="240"/>
      <c r="Q1111" s="240"/>
      <c r="R1111" s="240"/>
      <c r="S1111" s="240"/>
      <c r="T1111" s="240"/>
      <c r="U1111" s="240"/>
      <c r="V1111" s="240"/>
      <c r="W1111" s="240"/>
      <c r="X1111" s="240"/>
      <c r="Y1111" s="240"/>
    </row>
    <row r="1112" ht="15.75" customHeight="1">
      <c r="A1112" s="238"/>
      <c r="B1112" s="239"/>
      <c r="C1112" s="238" t="s">
        <v>468</v>
      </c>
      <c r="D1112" s="238"/>
      <c r="E1112" s="238"/>
      <c r="F1112" s="240"/>
      <c r="G1112" s="240"/>
      <c r="H1112" s="240"/>
      <c r="I1112" s="240"/>
      <c r="J1112" s="240"/>
      <c r="K1112" s="240"/>
      <c r="L1112" s="240"/>
      <c r="M1112" s="240"/>
      <c r="N1112" s="240"/>
      <c r="O1112" s="240"/>
      <c r="P1112" s="240"/>
      <c r="Q1112" s="240"/>
      <c r="R1112" s="240"/>
      <c r="S1112" s="240"/>
      <c r="T1112" s="240"/>
      <c r="U1112" s="240"/>
      <c r="V1112" s="240"/>
      <c r="W1112" s="240"/>
      <c r="X1112" s="240"/>
      <c r="Y1112" s="240"/>
    </row>
    <row r="1113" ht="15.75" customHeight="1">
      <c r="A1113" s="238"/>
      <c r="B1113" s="239"/>
      <c r="C1113" s="238" t="s">
        <v>468</v>
      </c>
      <c r="D1113" s="238"/>
      <c r="E1113" s="238"/>
      <c r="F1113" s="240"/>
      <c r="G1113" s="240"/>
      <c r="H1113" s="240"/>
      <c r="I1113" s="240"/>
      <c r="J1113" s="240"/>
      <c r="K1113" s="240"/>
      <c r="L1113" s="240"/>
      <c r="M1113" s="240"/>
      <c r="N1113" s="240"/>
      <c r="O1113" s="240"/>
      <c r="P1113" s="240"/>
      <c r="Q1113" s="240"/>
      <c r="R1113" s="240"/>
      <c r="S1113" s="240"/>
      <c r="T1113" s="240"/>
      <c r="U1113" s="240"/>
      <c r="V1113" s="240"/>
      <c r="W1113" s="240"/>
      <c r="X1113" s="240"/>
      <c r="Y1113" s="240"/>
    </row>
    <row r="1114" ht="15.75" customHeight="1">
      <c r="A1114" s="238"/>
      <c r="B1114" s="239"/>
      <c r="C1114" s="238" t="s">
        <v>468</v>
      </c>
      <c r="D1114" s="238"/>
      <c r="E1114" s="238"/>
      <c r="F1114" s="240"/>
      <c r="G1114" s="240"/>
      <c r="H1114" s="240"/>
      <c r="I1114" s="240"/>
      <c r="J1114" s="240"/>
      <c r="K1114" s="240"/>
      <c r="L1114" s="240"/>
      <c r="M1114" s="240"/>
      <c r="N1114" s="240"/>
      <c r="O1114" s="240"/>
      <c r="P1114" s="240"/>
      <c r="Q1114" s="240"/>
      <c r="R1114" s="240"/>
      <c r="S1114" s="240"/>
      <c r="T1114" s="240"/>
      <c r="U1114" s="240"/>
      <c r="V1114" s="240"/>
      <c r="W1114" s="240"/>
      <c r="X1114" s="240"/>
      <c r="Y1114" s="240"/>
    </row>
    <row r="1115" ht="15.75" customHeight="1">
      <c r="A1115" s="238"/>
      <c r="B1115" s="239"/>
      <c r="C1115" s="238" t="s">
        <v>468</v>
      </c>
      <c r="D1115" s="238"/>
      <c r="E1115" s="238"/>
      <c r="F1115" s="240"/>
      <c r="G1115" s="240"/>
      <c r="H1115" s="240"/>
      <c r="I1115" s="240"/>
      <c r="J1115" s="240"/>
      <c r="K1115" s="240"/>
      <c r="L1115" s="240"/>
      <c r="M1115" s="240"/>
      <c r="N1115" s="240"/>
      <c r="O1115" s="240"/>
      <c r="P1115" s="240"/>
      <c r="Q1115" s="240"/>
      <c r="R1115" s="240"/>
      <c r="S1115" s="240"/>
      <c r="T1115" s="240"/>
      <c r="U1115" s="240"/>
      <c r="V1115" s="240"/>
      <c r="W1115" s="240"/>
      <c r="X1115" s="240"/>
      <c r="Y1115" s="240"/>
    </row>
    <row r="1116" ht="15.75" customHeight="1">
      <c r="A1116" s="238"/>
      <c r="B1116" s="239"/>
      <c r="C1116" s="238" t="s">
        <v>468</v>
      </c>
      <c r="D1116" s="238"/>
      <c r="E1116" s="238"/>
      <c r="F1116" s="240"/>
      <c r="G1116" s="240"/>
      <c r="H1116" s="240"/>
      <c r="I1116" s="240"/>
      <c r="J1116" s="240"/>
      <c r="K1116" s="240"/>
      <c r="L1116" s="240"/>
      <c r="M1116" s="240"/>
      <c r="N1116" s="240"/>
      <c r="O1116" s="240"/>
      <c r="P1116" s="240"/>
      <c r="Q1116" s="240"/>
      <c r="R1116" s="240"/>
      <c r="S1116" s="240"/>
      <c r="T1116" s="240"/>
      <c r="U1116" s="240"/>
      <c r="V1116" s="240"/>
      <c r="W1116" s="240"/>
      <c r="X1116" s="240"/>
      <c r="Y1116" s="240"/>
    </row>
    <row r="1117" ht="15.75" customHeight="1">
      <c r="A1117" s="238"/>
      <c r="B1117" s="239"/>
      <c r="C1117" s="238" t="s">
        <v>468</v>
      </c>
      <c r="D1117" s="238"/>
      <c r="E1117" s="238"/>
      <c r="F1117" s="240"/>
      <c r="G1117" s="240"/>
      <c r="H1117" s="240"/>
      <c r="I1117" s="240"/>
      <c r="J1117" s="240"/>
      <c r="K1117" s="240"/>
      <c r="L1117" s="240"/>
      <c r="M1117" s="240"/>
      <c r="N1117" s="240"/>
      <c r="O1117" s="240"/>
      <c r="P1117" s="240"/>
      <c r="Q1117" s="240"/>
      <c r="R1117" s="240"/>
      <c r="S1117" s="240"/>
      <c r="T1117" s="240"/>
      <c r="U1117" s="240"/>
      <c r="V1117" s="240"/>
      <c r="W1117" s="240"/>
      <c r="X1117" s="240"/>
      <c r="Y1117" s="240"/>
    </row>
    <row r="1118" ht="15.75" customHeight="1">
      <c r="A1118" s="238"/>
      <c r="B1118" s="239"/>
      <c r="C1118" s="238" t="s">
        <v>468</v>
      </c>
      <c r="D1118" s="238"/>
      <c r="E1118" s="238"/>
      <c r="F1118" s="240"/>
      <c r="G1118" s="240"/>
      <c r="H1118" s="240"/>
      <c r="I1118" s="240"/>
      <c r="J1118" s="240"/>
      <c r="K1118" s="240"/>
      <c r="L1118" s="240"/>
      <c r="M1118" s="240"/>
      <c r="N1118" s="240"/>
      <c r="O1118" s="240"/>
      <c r="P1118" s="240"/>
      <c r="Q1118" s="240"/>
      <c r="R1118" s="240"/>
      <c r="S1118" s="240"/>
      <c r="T1118" s="240"/>
      <c r="U1118" s="240"/>
      <c r="V1118" s="240"/>
      <c r="W1118" s="240"/>
      <c r="X1118" s="240"/>
      <c r="Y1118" s="240"/>
    </row>
    <row r="1119" ht="15.75" customHeight="1">
      <c r="A1119" s="238"/>
      <c r="B1119" s="239"/>
      <c r="C1119" s="238" t="s">
        <v>468</v>
      </c>
      <c r="D1119" s="238"/>
      <c r="E1119" s="238"/>
      <c r="F1119" s="240"/>
      <c r="G1119" s="240"/>
      <c r="H1119" s="240"/>
      <c r="I1119" s="240"/>
      <c r="J1119" s="240"/>
      <c r="K1119" s="240"/>
      <c r="L1119" s="240"/>
      <c r="M1119" s="240"/>
      <c r="N1119" s="240"/>
      <c r="O1119" s="240"/>
      <c r="P1119" s="240"/>
      <c r="Q1119" s="240"/>
      <c r="R1119" s="240"/>
      <c r="S1119" s="240"/>
      <c r="T1119" s="240"/>
      <c r="U1119" s="240"/>
      <c r="V1119" s="240"/>
      <c r="W1119" s="240"/>
      <c r="X1119" s="240"/>
      <c r="Y1119" s="240"/>
    </row>
    <row r="1120" ht="15.75" customHeight="1">
      <c r="A1120" s="238"/>
      <c r="B1120" s="239"/>
      <c r="C1120" s="238" t="s">
        <v>468</v>
      </c>
      <c r="D1120" s="238"/>
      <c r="E1120" s="238"/>
      <c r="F1120" s="240"/>
      <c r="G1120" s="240"/>
      <c r="H1120" s="240"/>
      <c r="I1120" s="240"/>
      <c r="J1120" s="240"/>
      <c r="K1120" s="240"/>
      <c r="L1120" s="240"/>
      <c r="M1120" s="240"/>
      <c r="N1120" s="240"/>
      <c r="O1120" s="240"/>
      <c r="P1120" s="240"/>
      <c r="Q1120" s="240"/>
      <c r="R1120" s="240"/>
      <c r="S1120" s="240"/>
      <c r="T1120" s="240"/>
      <c r="U1120" s="240"/>
      <c r="V1120" s="240"/>
      <c r="W1120" s="240"/>
      <c r="X1120" s="240"/>
      <c r="Y1120" s="240"/>
    </row>
    <row r="1121" ht="15.75" customHeight="1">
      <c r="A1121" s="238"/>
      <c r="B1121" s="239"/>
      <c r="C1121" s="238" t="s">
        <v>468</v>
      </c>
      <c r="D1121" s="238"/>
      <c r="E1121" s="238"/>
      <c r="F1121" s="240"/>
      <c r="G1121" s="240"/>
      <c r="H1121" s="240"/>
      <c r="I1121" s="240"/>
      <c r="J1121" s="240"/>
      <c r="K1121" s="240"/>
      <c r="L1121" s="240"/>
      <c r="M1121" s="240"/>
      <c r="N1121" s="240"/>
      <c r="O1121" s="240"/>
      <c r="P1121" s="240"/>
      <c r="Q1121" s="240"/>
      <c r="R1121" s="240"/>
      <c r="S1121" s="240"/>
      <c r="T1121" s="240"/>
      <c r="U1121" s="240"/>
      <c r="V1121" s="240"/>
      <c r="W1121" s="240"/>
      <c r="X1121" s="240"/>
      <c r="Y1121" s="240"/>
    </row>
    <row r="1122" ht="15.75" customHeight="1">
      <c r="A1122" s="238"/>
      <c r="B1122" s="239"/>
      <c r="C1122" s="238" t="s">
        <v>468</v>
      </c>
      <c r="D1122" s="238"/>
      <c r="E1122" s="238"/>
      <c r="F1122" s="240"/>
      <c r="G1122" s="240"/>
      <c r="H1122" s="240"/>
      <c r="I1122" s="240"/>
      <c r="J1122" s="240"/>
      <c r="K1122" s="240"/>
      <c r="L1122" s="240"/>
      <c r="M1122" s="240"/>
      <c r="N1122" s="240"/>
      <c r="O1122" s="240"/>
      <c r="P1122" s="240"/>
      <c r="Q1122" s="240"/>
      <c r="R1122" s="240"/>
      <c r="S1122" s="240"/>
      <c r="T1122" s="240"/>
      <c r="U1122" s="240"/>
      <c r="V1122" s="240"/>
      <c r="W1122" s="240"/>
      <c r="X1122" s="240"/>
      <c r="Y1122" s="240"/>
    </row>
    <row r="1123" ht="15.75" customHeight="1">
      <c r="A1123" s="238"/>
      <c r="B1123" s="239"/>
      <c r="C1123" s="238" t="s">
        <v>468</v>
      </c>
      <c r="D1123" s="238"/>
      <c r="E1123" s="238"/>
      <c r="F1123" s="240"/>
      <c r="G1123" s="240"/>
      <c r="H1123" s="240"/>
      <c r="I1123" s="240"/>
      <c r="J1123" s="240"/>
      <c r="K1123" s="240"/>
      <c r="L1123" s="240"/>
      <c r="M1123" s="240"/>
      <c r="N1123" s="240"/>
      <c r="O1123" s="240"/>
      <c r="P1123" s="240"/>
      <c r="Q1123" s="240"/>
      <c r="R1123" s="240"/>
      <c r="S1123" s="240"/>
      <c r="T1123" s="240"/>
      <c r="U1123" s="240"/>
      <c r="V1123" s="240"/>
      <c r="W1123" s="240"/>
      <c r="X1123" s="240"/>
      <c r="Y1123" s="240"/>
    </row>
    <row r="1124" ht="15.75" customHeight="1">
      <c r="A1124" s="238"/>
      <c r="B1124" s="239"/>
      <c r="C1124" s="238" t="s">
        <v>468</v>
      </c>
      <c r="D1124" s="238"/>
      <c r="E1124" s="238"/>
      <c r="F1124" s="240"/>
      <c r="G1124" s="240"/>
      <c r="H1124" s="240"/>
      <c r="I1124" s="240"/>
      <c r="J1124" s="240"/>
      <c r="K1124" s="240"/>
      <c r="L1124" s="240"/>
      <c r="M1124" s="240"/>
      <c r="N1124" s="240"/>
      <c r="O1124" s="240"/>
      <c r="P1124" s="240"/>
      <c r="Q1124" s="240"/>
      <c r="R1124" s="240"/>
      <c r="S1124" s="240"/>
      <c r="T1124" s="240"/>
      <c r="U1124" s="240"/>
      <c r="V1124" s="240"/>
      <c r="W1124" s="240"/>
      <c r="X1124" s="240"/>
      <c r="Y1124" s="240"/>
    </row>
    <row r="1125">
      <c r="A1125" s="238"/>
      <c r="B1125" s="239"/>
      <c r="C1125" s="238" t="s">
        <v>468</v>
      </c>
      <c r="D1125" s="238"/>
      <c r="E1125" s="238"/>
      <c r="F1125" s="240"/>
      <c r="G1125" s="240"/>
      <c r="H1125" s="240"/>
      <c r="I1125" s="240"/>
      <c r="J1125" s="240"/>
      <c r="K1125" s="240"/>
      <c r="L1125" s="240"/>
      <c r="M1125" s="240"/>
      <c r="N1125" s="240"/>
      <c r="O1125" s="240"/>
      <c r="P1125" s="240"/>
      <c r="Q1125" s="240"/>
      <c r="R1125" s="240"/>
      <c r="S1125" s="240"/>
      <c r="T1125" s="240"/>
      <c r="U1125" s="240"/>
      <c r="V1125" s="240"/>
      <c r="W1125" s="240"/>
      <c r="X1125" s="240"/>
      <c r="Y1125" s="240"/>
    </row>
    <row r="1126" ht="15.0" customHeight="1">
      <c r="A1126" s="238"/>
      <c r="B1126" s="239"/>
      <c r="C1126" s="238" t="s">
        <v>468</v>
      </c>
      <c r="D1126" s="238"/>
      <c r="E1126" s="238"/>
      <c r="F1126" s="240"/>
      <c r="G1126" s="240"/>
      <c r="H1126" s="240"/>
      <c r="I1126" s="240"/>
      <c r="J1126" s="240"/>
      <c r="K1126" s="240"/>
      <c r="L1126" s="240"/>
      <c r="M1126" s="240"/>
      <c r="N1126" s="240"/>
      <c r="O1126" s="240"/>
      <c r="P1126" s="240"/>
      <c r="Q1126" s="240"/>
      <c r="R1126" s="240"/>
      <c r="S1126" s="240"/>
      <c r="T1126" s="240"/>
      <c r="U1126" s="240"/>
      <c r="V1126" s="240"/>
      <c r="W1126" s="240"/>
      <c r="X1126" s="240"/>
      <c r="Y1126" s="240"/>
    </row>
    <row r="1127" ht="15.0" customHeight="1">
      <c r="A1127" s="238"/>
      <c r="B1127" s="239"/>
      <c r="C1127" s="238" t="s">
        <v>468</v>
      </c>
      <c r="D1127" s="238"/>
      <c r="E1127" s="238"/>
      <c r="F1127" s="240"/>
      <c r="G1127" s="240"/>
      <c r="H1127" s="240"/>
      <c r="I1127" s="240"/>
      <c r="J1127" s="240"/>
      <c r="K1127" s="240"/>
      <c r="L1127" s="240"/>
      <c r="M1127" s="240"/>
      <c r="N1127" s="240"/>
      <c r="O1127" s="240"/>
      <c r="P1127" s="240"/>
      <c r="Q1127" s="240"/>
      <c r="R1127" s="240"/>
      <c r="S1127" s="240"/>
      <c r="T1127" s="240"/>
      <c r="U1127" s="240"/>
      <c r="V1127" s="240"/>
      <c r="W1127" s="240"/>
      <c r="X1127" s="240"/>
      <c r="Y1127" s="240"/>
    </row>
    <row r="1128" ht="15.0" customHeight="1">
      <c r="A1128" s="238"/>
      <c r="B1128" s="239"/>
      <c r="C1128" s="238" t="s">
        <v>468</v>
      </c>
      <c r="D1128" s="238"/>
      <c r="E1128" s="238"/>
      <c r="F1128" s="240"/>
      <c r="G1128" s="240"/>
      <c r="H1128" s="240"/>
      <c r="I1128" s="240"/>
      <c r="J1128" s="240"/>
      <c r="K1128" s="240"/>
      <c r="L1128" s="240"/>
      <c r="M1128" s="240"/>
      <c r="N1128" s="240"/>
      <c r="O1128" s="240"/>
      <c r="P1128" s="240"/>
      <c r="Q1128" s="240"/>
      <c r="R1128" s="240"/>
      <c r="S1128" s="240"/>
      <c r="T1128" s="240"/>
      <c r="U1128" s="240"/>
      <c r="V1128" s="240"/>
      <c r="W1128" s="240"/>
      <c r="X1128" s="240"/>
      <c r="Y1128" s="240"/>
    </row>
    <row r="1129">
      <c r="A1129" s="276"/>
      <c r="B1129" s="271"/>
      <c r="C1129" s="277"/>
      <c r="D1129" s="248"/>
      <c r="E1129" s="248"/>
      <c r="F1129" s="240"/>
      <c r="G1129" s="240"/>
      <c r="H1129" s="240"/>
      <c r="I1129" s="240"/>
      <c r="J1129" s="240"/>
      <c r="K1129" s="240"/>
      <c r="L1129" s="240"/>
      <c r="M1129" s="240"/>
      <c r="N1129" s="240"/>
      <c r="O1129" s="240"/>
      <c r="P1129" s="240"/>
      <c r="Q1129" s="240"/>
      <c r="R1129" s="240"/>
      <c r="S1129" s="240"/>
      <c r="T1129" s="240"/>
      <c r="U1129" s="240"/>
      <c r="V1129" s="240"/>
      <c r="W1129" s="240"/>
      <c r="X1129" s="240"/>
      <c r="Y1129" s="240"/>
    </row>
    <row r="1130">
      <c r="A1130" s="276"/>
      <c r="B1130" s="271"/>
      <c r="C1130" s="277"/>
      <c r="D1130" s="248"/>
      <c r="E1130" s="248"/>
      <c r="F1130" s="240"/>
      <c r="G1130" s="240"/>
      <c r="H1130" s="240"/>
      <c r="I1130" s="240"/>
      <c r="J1130" s="240"/>
      <c r="K1130" s="240"/>
      <c r="L1130" s="240"/>
      <c r="M1130" s="240"/>
      <c r="N1130" s="240"/>
      <c r="O1130" s="240"/>
      <c r="P1130" s="240"/>
      <c r="Q1130" s="240"/>
      <c r="R1130" s="240"/>
      <c r="S1130" s="240"/>
      <c r="T1130" s="240"/>
      <c r="U1130" s="240"/>
      <c r="V1130" s="240"/>
      <c r="W1130" s="240"/>
      <c r="X1130" s="240"/>
      <c r="Y1130" s="240"/>
    </row>
    <row r="1131">
      <c r="A1131" s="276"/>
      <c r="B1131" s="271"/>
      <c r="C1131" s="277"/>
      <c r="D1131" s="248"/>
      <c r="E1131" s="248"/>
      <c r="F1131" s="240"/>
      <c r="G1131" s="240"/>
      <c r="H1131" s="240"/>
      <c r="I1131" s="240"/>
      <c r="J1131" s="240"/>
      <c r="K1131" s="240"/>
      <c r="L1131" s="240"/>
      <c r="M1131" s="240"/>
      <c r="N1131" s="240"/>
      <c r="O1131" s="240"/>
      <c r="P1131" s="240"/>
      <c r="Q1131" s="240"/>
      <c r="R1131" s="240"/>
      <c r="S1131" s="240"/>
      <c r="T1131" s="240"/>
      <c r="U1131" s="240"/>
      <c r="V1131" s="240"/>
      <c r="W1131" s="240"/>
      <c r="X1131" s="240"/>
      <c r="Y1131" s="240"/>
    </row>
    <row r="1132">
      <c r="A1132" s="276"/>
      <c r="B1132" s="271"/>
      <c r="C1132" s="277"/>
      <c r="D1132" s="248"/>
      <c r="E1132" s="248"/>
      <c r="F1132" s="240"/>
      <c r="G1132" s="240"/>
      <c r="H1132" s="240"/>
      <c r="I1132" s="240"/>
      <c r="J1132" s="240"/>
      <c r="K1132" s="240"/>
      <c r="L1132" s="240"/>
      <c r="M1132" s="240"/>
      <c r="N1132" s="240"/>
      <c r="O1132" s="240"/>
      <c r="P1132" s="240"/>
      <c r="Q1132" s="240"/>
      <c r="R1132" s="240"/>
      <c r="S1132" s="240"/>
      <c r="T1132" s="240"/>
      <c r="U1132" s="240"/>
      <c r="V1132" s="240"/>
      <c r="W1132" s="240"/>
      <c r="X1132" s="240"/>
      <c r="Y1132" s="240"/>
    </row>
    <row r="1133">
      <c r="A1133" s="276"/>
      <c r="B1133" s="271"/>
      <c r="C1133" s="277"/>
      <c r="D1133" s="248"/>
      <c r="E1133" s="248"/>
      <c r="F1133" s="240"/>
      <c r="G1133" s="240"/>
      <c r="H1133" s="240"/>
      <c r="I1133" s="240"/>
      <c r="J1133" s="240"/>
      <c r="K1133" s="240"/>
      <c r="L1133" s="240"/>
      <c r="M1133" s="240"/>
      <c r="N1133" s="240"/>
      <c r="O1133" s="240"/>
      <c r="P1133" s="240"/>
      <c r="Q1133" s="240"/>
      <c r="R1133" s="240"/>
      <c r="S1133" s="240"/>
      <c r="T1133" s="240"/>
      <c r="U1133" s="240"/>
      <c r="V1133" s="240"/>
      <c r="W1133" s="240"/>
      <c r="X1133" s="240"/>
      <c r="Y1133" s="240"/>
    </row>
    <row r="1134">
      <c r="A1134" s="276"/>
      <c r="B1134" s="271"/>
      <c r="C1134" s="277"/>
      <c r="D1134" s="248"/>
      <c r="E1134" s="248"/>
      <c r="F1134" s="240"/>
      <c r="G1134" s="240"/>
      <c r="H1134" s="240"/>
      <c r="I1134" s="240"/>
      <c r="J1134" s="240"/>
      <c r="K1134" s="240"/>
      <c r="L1134" s="240"/>
      <c r="M1134" s="240"/>
      <c r="N1134" s="240"/>
      <c r="O1134" s="240"/>
      <c r="P1134" s="240"/>
      <c r="Q1134" s="240"/>
      <c r="R1134" s="240"/>
      <c r="S1134" s="240"/>
      <c r="T1134" s="240"/>
      <c r="U1134" s="240"/>
      <c r="V1134" s="240"/>
      <c r="W1134" s="240"/>
      <c r="X1134" s="240"/>
      <c r="Y1134" s="240"/>
    </row>
    <row r="1135">
      <c r="A1135" s="276"/>
      <c r="B1135" s="271"/>
      <c r="C1135" s="277"/>
      <c r="D1135" s="248"/>
      <c r="E1135" s="248"/>
      <c r="F1135" s="240"/>
      <c r="G1135" s="240"/>
      <c r="H1135" s="240"/>
      <c r="I1135" s="240"/>
      <c r="J1135" s="240"/>
      <c r="K1135" s="240"/>
      <c r="L1135" s="240"/>
      <c r="M1135" s="240"/>
      <c r="N1135" s="240"/>
      <c r="O1135" s="240"/>
      <c r="P1135" s="240"/>
      <c r="Q1135" s="240"/>
      <c r="R1135" s="240"/>
      <c r="S1135" s="240"/>
      <c r="T1135" s="240"/>
      <c r="U1135" s="240"/>
      <c r="V1135" s="240"/>
      <c r="W1135" s="240"/>
      <c r="X1135" s="240"/>
      <c r="Y1135" s="240"/>
    </row>
    <row r="1136">
      <c r="A1136" s="276"/>
      <c r="B1136" s="271"/>
      <c r="C1136" s="277"/>
      <c r="D1136" s="248"/>
      <c r="E1136" s="248"/>
      <c r="F1136" s="240"/>
      <c r="G1136" s="240"/>
      <c r="H1136" s="240"/>
      <c r="I1136" s="240"/>
      <c r="J1136" s="240"/>
      <c r="K1136" s="240"/>
      <c r="L1136" s="240"/>
      <c r="M1136" s="240"/>
      <c r="N1136" s="240"/>
      <c r="O1136" s="240"/>
      <c r="P1136" s="240"/>
      <c r="Q1136" s="240"/>
      <c r="R1136" s="240"/>
      <c r="S1136" s="240"/>
      <c r="T1136" s="240"/>
      <c r="U1136" s="240"/>
      <c r="V1136" s="240"/>
      <c r="W1136" s="240"/>
      <c r="X1136" s="240"/>
      <c r="Y1136" s="240"/>
    </row>
    <row r="1137">
      <c r="A1137" s="276"/>
      <c r="B1137" s="271"/>
      <c r="C1137" s="277"/>
      <c r="D1137" s="248"/>
      <c r="E1137" s="248"/>
      <c r="F1137" s="240"/>
      <c r="G1137" s="240"/>
      <c r="H1137" s="240"/>
      <c r="I1137" s="240"/>
      <c r="J1137" s="240"/>
      <c r="K1137" s="240"/>
      <c r="L1137" s="240"/>
      <c r="M1137" s="240"/>
      <c r="N1137" s="240"/>
      <c r="O1137" s="240"/>
      <c r="P1137" s="240"/>
      <c r="Q1137" s="240"/>
      <c r="R1137" s="240"/>
      <c r="S1137" s="240"/>
      <c r="T1137" s="240"/>
      <c r="U1137" s="240"/>
      <c r="V1137" s="240"/>
      <c r="W1137" s="240"/>
      <c r="X1137" s="240"/>
      <c r="Y1137" s="240"/>
    </row>
    <row r="1138">
      <c r="A1138" s="276"/>
      <c r="B1138" s="271"/>
      <c r="C1138" s="277"/>
      <c r="D1138" s="248"/>
      <c r="E1138" s="248"/>
      <c r="F1138" s="240"/>
      <c r="G1138" s="240"/>
      <c r="H1138" s="240"/>
      <c r="I1138" s="240"/>
      <c r="J1138" s="240"/>
      <c r="K1138" s="240"/>
      <c r="L1138" s="240"/>
      <c r="M1138" s="240"/>
      <c r="N1138" s="240"/>
      <c r="O1138" s="240"/>
      <c r="P1138" s="240"/>
      <c r="Q1138" s="240"/>
      <c r="R1138" s="240"/>
      <c r="S1138" s="240"/>
      <c r="T1138" s="240"/>
      <c r="U1138" s="240"/>
      <c r="V1138" s="240"/>
      <c r="W1138" s="240"/>
      <c r="X1138" s="240"/>
      <c r="Y1138" s="240"/>
    </row>
    <row r="1139">
      <c r="A1139" s="276"/>
      <c r="B1139" s="271"/>
      <c r="C1139" s="277"/>
      <c r="D1139" s="248"/>
      <c r="E1139" s="248"/>
      <c r="F1139" s="240"/>
      <c r="G1139" s="240"/>
      <c r="H1139" s="240"/>
      <c r="I1139" s="240"/>
      <c r="J1139" s="240"/>
      <c r="K1139" s="240"/>
      <c r="L1139" s="240"/>
      <c r="M1139" s="240"/>
      <c r="N1139" s="240"/>
      <c r="O1139" s="240"/>
      <c r="P1139" s="240"/>
      <c r="Q1139" s="240"/>
      <c r="R1139" s="240"/>
      <c r="S1139" s="240"/>
      <c r="T1139" s="240"/>
      <c r="U1139" s="240"/>
      <c r="V1139" s="240"/>
      <c r="W1139" s="240"/>
      <c r="X1139" s="240"/>
      <c r="Y1139" s="240"/>
    </row>
    <row r="1140">
      <c r="A1140" s="276"/>
      <c r="B1140" s="271"/>
      <c r="C1140" s="277"/>
      <c r="D1140" s="248"/>
      <c r="E1140" s="248"/>
      <c r="F1140" s="240"/>
      <c r="G1140" s="240"/>
      <c r="H1140" s="240"/>
      <c r="I1140" s="240"/>
      <c r="J1140" s="240"/>
      <c r="K1140" s="240"/>
      <c r="L1140" s="240"/>
      <c r="M1140" s="240"/>
      <c r="N1140" s="240"/>
      <c r="O1140" s="240"/>
      <c r="P1140" s="240"/>
      <c r="Q1140" s="240"/>
      <c r="R1140" s="240"/>
      <c r="S1140" s="240"/>
      <c r="T1140" s="240"/>
      <c r="U1140" s="240"/>
      <c r="V1140" s="240"/>
      <c r="W1140" s="240"/>
      <c r="X1140" s="240"/>
      <c r="Y1140" s="240"/>
    </row>
    <row r="1141">
      <c r="A1141" s="276"/>
      <c r="B1141" s="271"/>
      <c r="C1141" s="277"/>
      <c r="D1141" s="248"/>
      <c r="E1141" s="248"/>
      <c r="F1141" s="240"/>
      <c r="G1141" s="240"/>
      <c r="H1141" s="240"/>
      <c r="I1141" s="240"/>
      <c r="J1141" s="240"/>
      <c r="K1141" s="240"/>
      <c r="L1141" s="240"/>
      <c r="M1141" s="240"/>
      <c r="N1141" s="240"/>
      <c r="O1141" s="240"/>
      <c r="P1141" s="240"/>
      <c r="Q1141" s="240"/>
      <c r="R1141" s="240"/>
      <c r="S1141" s="240"/>
      <c r="T1141" s="240"/>
      <c r="U1141" s="240"/>
      <c r="V1141" s="240"/>
      <c r="W1141" s="240"/>
      <c r="X1141" s="240"/>
      <c r="Y1141" s="240"/>
    </row>
    <row r="1142">
      <c r="A1142" s="276"/>
      <c r="B1142" s="271"/>
      <c r="C1142" s="277"/>
      <c r="D1142" s="248"/>
      <c r="E1142" s="248"/>
      <c r="F1142" s="240"/>
      <c r="G1142" s="240"/>
      <c r="H1142" s="240"/>
      <c r="I1142" s="240"/>
      <c r="J1142" s="240"/>
      <c r="K1142" s="240"/>
      <c r="L1142" s="240"/>
      <c r="M1142" s="240"/>
      <c r="N1142" s="240"/>
      <c r="O1142" s="240"/>
      <c r="P1142" s="240"/>
      <c r="Q1142" s="240"/>
      <c r="R1142" s="240"/>
      <c r="S1142" s="240"/>
      <c r="T1142" s="240"/>
      <c r="U1142" s="240"/>
      <c r="V1142" s="240"/>
      <c r="W1142" s="240"/>
      <c r="X1142" s="240"/>
      <c r="Y1142" s="240"/>
    </row>
    <row r="1143">
      <c r="A1143" s="276"/>
      <c r="B1143" s="271"/>
      <c r="C1143" s="277"/>
      <c r="D1143" s="248"/>
      <c r="E1143" s="248"/>
      <c r="F1143" s="240"/>
      <c r="G1143" s="240"/>
      <c r="H1143" s="240"/>
      <c r="I1143" s="240"/>
      <c r="J1143" s="240"/>
      <c r="K1143" s="240"/>
      <c r="L1143" s="240"/>
      <c r="M1143" s="240"/>
      <c r="N1143" s="240"/>
      <c r="O1143" s="240"/>
      <c r="P1143" s="240"/>
      <c r="Q1143" s="240"/>
      <c r="R1143" s="240"/>
      <c r="S1143" s="240"/>
      <c r="T1143" s="240"/>
      <c r="U1143" s="240"/>
      <c r="V1143" s="240"/>
      <c r="W1143" s="240"/>
      <c r="X1143" s="240"/>
      <c r="Y1143" s="240"/>
    </row>
    <row r="1144">
      <c r="A1144" s="276"/>
      <c r="B1144" s="271"/>
      <c r="C1144" s="277"/>
      <c r="D1144" s="248"/>
      <c r="E1144" s="248"/>
      <c r="F1144" s="240"/>
      <c r="G1144" s="240"/>
      <c r="H1144" s="240"/>
      <c r="I1144" s="240"/>
      <c r="J1144" s="240"/>
      <c r="K1144" s="240"/>
      <c r="L1144" s="240"/>
      <c r="M1144" s="240"/>
      <c r="N1144" s="240"/>
      <c r="O1144" s="240"/>
      <c r="P1144" s="240"/>
      <c r="Q1144" s="240"/>
      <c r="R1144" s="240"/>
      <c r="S1144" s="240"/>
      <c r="T1144" s="240"/>
      <c r="U1144" s="240"/>
      <c r="V1144" s="240"/>
      <c r="W1144" s="240"/>
      <c r="X1144" s="240"/>
      <c r="Y1144" s="240"/>
    </row>
    <row r="1145">
      <c r="A1145" s="276"/>
      <c r="B1145" s="271"/>
      <c r="C1145" s="277"/>
      <c r="D1145" s="248"/>
      <c r="E1145" s="248"/>
      <c r="F1145" s="240"/>
      <c r="G1145" s="240"/>
      <c r="H1145" s="240"/>
      <c r="I1145" s="240"/>
      <c r="J1145" s="240"/>
      <c r="K1145" s="240"/>
      <c r="L1145" s="240"/>
      <c r="M1145" s="240"/>
      <c r="N1145" s="240"/>
      <c r="O1145" s="240"/>
      <c r="P1145" s="240"/>
      <c r="Q1145" s="240"/>
      <c r="R1145" s="240"/>
      <c r="S1145" s="240"/>
      <c r="T1145" s="240"/>
      <c r="U1145" s="240"/>
      <c r="V1145" s="240"/>
      <c r="W1145" s="240"/>
      <c r="X1145" s="240"/>
      <c r="Y1145" s="240"/>
    </row>
    <row r="1146">
      <c r="A1146" s="276"/>
      <c r="B1146" s="271"/>
      <c r="C1146" s="277"/>
      <c r="D1146" s="248"/>
      <c r="E1146" s="248"/>
      <c r="F1146" s="240"/>
      <c r="G1146" s="240"/>
      <c r="H1146" s="240"/>
      <c r="I1146" s="240"/>
      <c r="J1146" s="240"/>
      <c r="K1146" s="240"/>
      <c r="L1146" s="240"/>
      <c r="M1146" s="240"/>
      <c r="N1146" s="240"/>
      <c r="O1146" s="240"/>
      <c r="P1146" s="240"/>
      <c r="Q1146" s="240"/>
      <c r="R1146" s="240"/>
      <c r="S1146" s="240"/>
      <c r="T1146" s="240"/>
      <c r="U1146" s="240"/>
      <c r="V1146" s="240"/>
      <c r="W1146" s="240"/>
      <c r="X1146" s="240"/>
      <c r="Y1146" s="240"/>
    </row>
    <row r="1147">
      <c r="A1147" s="276"/>
      <c r="B1147" s="271"/>
      <c r="C1147" s="277"/>
      <c r="D1147" s="248"/>
      <c r="E1147" s="248"/>
      <c r="F1147" s="240"/>
      <c r="G1147" s="240"/>
      <c r="H1147" s="240"/>
      <c r="I1147" s="240"/>
      <c r="J1147" s="240"/>
      <c r="K1147" s="240"/>
      <c r="L1147" s="240"/>
      <c r="M1147" s="240"/>
      <c r="N1147" s="240"/>
      <c r="O1147" s="240"/>
      <c r="P1147" s="240"/>
      <c r="Q1147" s="240"/>
      <c r="R1147" s="240"/>
      <c r="S1147" s="240"/>
      <c r="T1147" s="240"/>
      <c r="U1147" s="240"/>
      <c r="V1147" s="240"/>
      <c r="W1147" s="240"/>
      <c r="X1147" s="240"/>
      <c r="Y1147" s="240"/>
    </row>
    <row r="1148">
      <c r="A1148" s="276"/>
      <c r="B1148" s="271"/>
      <c r="C1148" s="277"/>
      <c r="D1148" s="248"/>
      <c r="E1148" s="248"/>
      <c r="F1148" s="240"/>
      <c r="G1148" s="240"/>
      <c r="H1148" s="240"/>
      <c r="I1148" s="240"/>
      <c r="J1148" s="240"/>
      <c r="K1148" s="240"/>
      <c r="L1148" s="240"/>
      <c r="M1148" s="240"/>
      <c r="N1148" s="240"/>
      <c r="O1148" s="240"/>
      <c r="P1148" s="240"/>
      <c r="Q1148" s="240"/>
      <c r="R1148" s="240"/>
      <c r="S1148" s="240"/>
      <c r="T1148" s="240"/>
      <c r="U1148" s="240"/>
      <c r="V1148" s="240"/>
      <c r="W1148" s="240"/>
      <c r="X1148" s="240"/>
      <c r="Y1148" s="240"/>
    </row>
    <row r="1149">
      <c r="A1149" s="276"/>
      <c r="B1149" s="271"/>
      <c r="C1149" s="277"/>
      <c r="D1149" s="248"/>
      <c r="E1149" s="248"/>
      <c r="F1149" s="240"/>
      <c r="G1149" s="240"/>
      <c r="H1149" s="240"/>
      <c r="I1149" s="240"/>
      <c r="J1149" s="240"/>
      <c r="K1149" s="240"/>
      <c r="L1149" s="240"/>
      <c r="M1149" s="240"/>
      <c r="N1149" s="240"/>
      <c r="O1149" s="240"/>
      <c r="P1149" s="240"/>
      <c r="Q1149" s="240"/>
      <c r="R1149" s="240"/>
      <c r="S1149" s="240"/>
      <c r="T1149" s="240"/>
      <c r="U1149" s="240"/>
      <c r="V1149" s="240"/>
      <c r="W1149" s="240"/>
      <c r="X1149" s="240"/>
      <c r="Y1149" s="240"/>
    </row>
    <row r="1150">
      <c r="A1150" s="276"/>
      <c r="B1150" s="271"/>
      <c r="C1150" s="277"/>
      <c r="D1150" s="248"/>
      <c r="E1150" s="248"/>
      <c r="F1150" s="240"/>
      <c r="G1150" s="240"/>
      <c r="H1150" s="240"/>
      <c r="I1150" s="240"/>
      <c r="J1150" s="240"/>
      <c r="K1150" s="240"/>
      <c r="L1150" s="240"/>
      <c r="M1150" s="240"/>
      <c r="N1150" s="240"/>
      <c r="O1150" s="240"/>
      <c r="P1150" s="240"/>
      <c r="Q1150" s="240"/>
      <c r="R1150" s="240"/>
      <c r="S1150" s="240"/>
      <c r="T1150" s="240"/>
      <c r="U1150" s="240"/>
      <c r="V1150" s="240"/>
      <c r="W1150" s="240"/>
      <c r="X1150" s="240"/>
      <c r="Y1150" s="240"/>
    </row>
    <row r="1151">
      <c r="A1151" s="276"/>
      <c r="B1151" s="271"/>
      <c r="C1151" s="277"/>
      <c r="D1151" s="248"/>
      <c r="E1151" s="248"/>
      <c r="F1151" s="240"/>
      <c r="G1151" s="240"/>
      <c r="H1151" s="240"/>
      <c r="I1151" s="240"/>
      <c r="J1151" s="240"/>
      <c r="K1151" s="240"/>
      <c r="L1151" s="240"/>
      <c r="M1151" s="240"/>
      <c r="N1151" s="240"/>
      <c r="O1151" s="240"/>
      <c r="P1151" s="240"/>
      <c r="Q1151" s="240"/>
      <c r="R1151" s="240"/>
      <c r="S1151" s="240"/>
      <c r="T1151" s="240"/>
      <c r="U1151" s="240"/>
      <c r="V1151" s="240"/>
      <c r="W1151" s="240"/>
      <c r="X1151" s="240"/>
      <c r="Y1151" s="240"/>
    </row>
    <row r="1152">
      <c r="A1152" s="276"/>
      <c r="B1152" s="271"/>
      <c r="C1152" s="277"/>
      <c r="D1152" s="248"/>
      <c r="E1152" s="248"/>
      <c r="F1152" s="240"/>
      <c r="G1152" s="240"/>
      <c r="H1152" s="240"/>
      <c r="I1152" s="240"/>
      <c r="J1152" s="240"/>
      <c r="K1152" s="240"/>
      <c r="L1152" s="240"/>
      <c r="M1152" s="240"/>
      <c r="N1152" s="240"/>
      <c r="O1152" s="240"/>
      <c r="P1152" s="240"/>
      <c r="Q1152" s="240"/>
      <c r="R1152" s="240"/>
      <c r="S1152" s="240"/>
      <c r="T1152" s="240"/>
      <c r="U1152" s="240"/>
      <c r="V1152" s="240"/>
      <c r="W1152" s="240"/>
      <c r="X1152" s="240"/>
      <c r="Y1152" s="240"/>
    </row>
    <row r="1153">
      <c r="A1153" s="276"/>
      <c r="B1153" s="271"/>
      <c r="C1153" s="277"/>
      <c r="D1153" s="248"/>
      <c r="E1153" s="248"/>
      <c r="F1153" s="240"/>
      <c r="G1153" s="240"/>
      <c r="H1153" s="240"/>
      <c r="I1153" s="240"/>
      <c r="J1153" s="240"/>
      <c r="K1153" s="240"/>
      <c r="L1153" s="240"/>
      <c r="M1153" s="240"/>
      <c r="N1153" s="240"/>
      <c r="O1153" s="240"/>
      <c r="P1153" s="240"/>
      <c r="Q1153" s="240"/>
      <c r="R1153" s="240"/>
      <c r="S1153" s="240"/>
      <c r="T1153" s="240"/>
      <c r="U1153" s="240"/>
      <c r="V1153" s="240"/>
      <c r="W1153" s="240"/>
      <c r="X1153" s="240"/>
      <c r="Y1153" s="240"/>
    </row>
    <row r="1154">
      <c r="A1154" s="276"/>
      <c r="B1154" s="271"/>
      <c r="C1154" s="277"/>
      <c r="D1154" s="248"/>
      <c r="E1154" s="248"/>
      <c r="F1154" s="240"/>
      <c r="G1154" s="240"/>
      <c r="H1154" s="240"/>
      <c r="I1154" s="240"/>
      <c r="J1154" s="240"/>
      <c r="K1154" s="240"/>
      <c r="L1154" s="240"/>
      <c r="M1154" s="240"/>
      <c r="N1154" s="240"/>
      <c r="O1154" s="240"/>
      <c r="P1154" s="240"/>
      <c r="Q1154" s="240"/>
      <c r="R1154" s="240"/>
      <c r="S1154" s="240"/>
      <c r="T1154" s="240"/>
      <c r="U1154" s="240"/>
      <c r="V1154" s="240"/>
      <c r="W1154" s="240"/>
      <c r="X1154" s="240"/>
      <c r="Y1154" s="240"/>
    </row>
    <row r="1155">
      <c r="A1155" s="276"/>
      <c r="B1155" s="271"/>
      <c r="C1155" s="277"/>
      <c r="D1155" s="248"/>
      <c r="E1155" s="248"/>
      <c r="F1155" s="240"/>
      <c r="G1155" s="240"/>
      <c r="H1155" s="240"/>
      <c r="I1155" s="240"/>
      <c r="J1155" s="240"/>
      <c r="K1155" s="240"/>
      <c r="L1155" s="240"/>
      <c r="M1155" s="240"/>
      <c r="N1155" s="240"/>
      <c r="O1155" s="240"/>
      <c r="P1155" s="240"/>
      <c r="Q1155" s="240"/>
      <c r="R1155" s="240"/>
      <c r="S1155" s="240"/>
      <c r="T1155" s="240"/>
      <c r="U1155" s="240"/>
      <c r="V1155" s="240"/>
      <c r="W1155" s="240"/>
      <c r="X1155" s="240"/>
      <c r="Y1155" s="240"/>
    </row>
    <row r="1156">
      <c r="A1156" s="276"/>
      <c r="B1156" s="271"/>
      <c r="C1156" s="277"/>
      <c r="D1156" s="248"/>
      <c r="E1156" s="248"/>
      <c r="F1156" s="240"/>
      <c r="G1156" s="240"/>
      <c r="H1156" s="240"/>
      <c r="I1156" s="240"/>
      <c r="J1156" s="240"/>
      <c r="K1156" s="240"/>
      <c r="L1156" s="240"/>
      <c r="M1156" s="240"/>
      <c r="N1156" s="240"/>
      <c r="O1156" s="240"/>
      <c r="P1156" s="240"/>
      <c r="Q1156" s="240"/>
      <c r="R1156" s="240"/>
      <c r="S1156" s="240"/>
      <c r="T1156" s="240"/>
      <c r="U1156" s="240"/>
      <c r="V1156" s="240"/>
      <c r="W1156" s="240"/>
      <c r="X1156" s="240"/>
      <c r="Y1156" s="240"/>
    </row>
    <row r="1157">
      <c r="A1157" s="276"/>
      <c r="B1157" s="271"/>
      <c r="C1157" s="277"/>
      <c r="D1157" s="248"/>
      <c r="E1157" s="248"/>
      <c r="F1157" s="240"/>
      <c r="G1157" s="240"/>
      <c r="H1157" s="240"/>
      <c r="I1157" s="240"/>
      <c r="J1157" s="240"/>
      <c r="K1157" s="240"/>
      <c r="L1157" s="240"/>
      <c r="M1157" s="240"/>
      <c r="N1157" s="240"/>
      <c r="O1157" s="240"/>
      <c r="P1157" s="240"/>
      <c r="Q1157" s="240"/>
      <c r="R1157" s="240"/>
      <c r="S1157" s="240"/>
      <c r="T1157" s="240"/>
      <c r="U1157" s="240"/>
      <c r="V1157" s="240"/>
      <c r="W1157" s="240"/>
      <c r="X1157" s="240"/>
      <c r="Y1157" s="240"/>
    </row>
    <row r="1158">
      <c r="A1158" s="276"/>
      <c r="B1158" s="271"/>
      <c r="C1158" s="277"/>
      <c r="D1158" s="248"/>
      <c r="E1158" s="248"/>
      <c r="F1158" s="240"/>
      <c r="G1158" s="240"/>
      <c r="H1158" s="240"/>
      <c r="I1158" s="240"/>
      <c r="J1158" s="240"/>
      <c r="K1158" s="240"/>
      <c r="L1158" s="240"/>
      <c r="M1158" s="240"/>
      <c r="N1158" s="240"/>
      <c r="O1158" s="240"/>
      <c r="P1158" s="240"/>
      <c r="Q1158" s="240"/>
      <c r="R1158" s="240"/>
      <c r="S1158" s="240"/>
      <c r="T1158" s="240"/>
      <c r="U1158" s="240"/>
      <c r="V1158" s="240"/>
      <c r="W1158" s="240"/>
      <c r="X1158" s="240"/>
      <c r="Y1158" s="240"/>
    </row>
    <row r="1159">
      <c r="A1159" s="276"/>
      <c r="B1159" s="271"/>
      <c r="C1159" s="277"/>
      <c r="D1159" s="248"/>
      <c r="E1159" s="248"/>
      <c r="F1159" s="240"/>
      <c r="G1159" s="240"/>
      <c r="H1159" s="240"/>
      <c r="I1159" s="240"/>
      <c r="J1159" s="240"/>
      <c r="K1159" s="240"/>
      <c r="L1159" s="240"/>
      <c r="M1159" s="240"/>
      <c r="N1159" s="240"/>
      <c r="O1159" s="240"/>
      <c r="P1159" s="240"/>
      <c r="Q1159" s="240"/>
      <c r="R1159" s="240"/>
      <c r="S1159" s="240"/>
      <c r="T1159" s="240"/>
      <c r="U1159" s="240"/>
      <c r="V1159" s="240"/>
      <c r="W1159" s="240"/>
      <c r="X1159" s="240"/>
      <c r="Y1159" s="240"/>
    </row>
    <row r="1160">
      <c r="A1160" s="276"/>
      <c r="B1160" s="271"/>
      <c r="C1160" s="277"/>
      <c r="D1160" s="248"/>
      <c r="E1160" s="248"/>
      <c r="F1160" s="240"/>
      <c r="G1160" s="240"/>
      <c r="H1160" s="240"/>
      <c r="I1160" s="240"/>
      <c r="J1160" s="240"/>
      <c r="K1160" s="240"/>
      <c r="L1160" s="240"/>
      <c r="M1160" s="240"/>
      <c r="N1160" s="240"/>
      <c r="O1160" s="240"/>
      <c r="P1160" s="240"/>
      <c r="Q1160" s="240"/>
      <c r="R1160" s="240"/>
      <c r="S1160" s="240"/>
      <c r="T1160" s="240"/>
      <c r="U1160" s="240"/>
      <c r="V1160" s="240"/>
      <c r="W1160" s="240"/>
      <c r="X1160" s="240"/>
      <c r="Y1160" s="240"/>
    </row>
    <row r="1161">
      <c r="A1161" s="276"/>
      <c r="B1161" s="271"/>
      <c r="C1161" s="277"/>
      <c r="D1161" s="248"/>
      <c r="E1161" s="248"/>
      <c r="F1161" s="240"/>
      <c r="G1161" s="240"/>
      <c r="H1161" s="240"/>
      <c r="I1161" s="240"/>
      <c r="J1161" s="240"/>
      <c r="K1161" s="240"/>
      <c r="L1161" s="240"/>
      <c r="M1161" s="240"/>
      <c r="N1161" s="240"/>
      <c r="O1161" s="240"/>
      <c r="P1161" s="240"/>
      <c r="Q1161" s="240"/>
      <c r="R1161" s="240"/>
      <c r="S1161" s="240"/>
      <c r="T1161" s="240"/>
      <c r="U1161" s="240"/>
      <c r="V1161" s="240"/>
      <c r="W1161" s="240"/>
      <c r="X1161" s="240"/>
      <c r="Y1161" s="240"/>
    </row>
    <row r="1162">
      <c r="A1162" s="276"/>
      <c r="B1162" s="271"/>
      <c r="C1162" s="277"/>
      <c r="D1162" s="248"/>
      <c r="E1162" s="248"/>
      <c r="F1162" s="240"/>
      <c r="G1162" s="240"/>
      <c r="H1162" s="240"/>
      <c r="I1162" s="240"/>
      <c r="J1162" s="240"/>
      <c r="K1162" s="240"/>
      <c r="L1162" s="240"/>
      <c r="M1162" s="240"/>
      <c r="N1162" s="240"/>
      <c r="O1162" s="240"/>
      <c r="P1162" s="240"/>
      <c r="Q1162" s="240"/>
      <c r="R1162" s="240"/>
      <c r="S1162" s="240"/>
      <c r="T1162" s="240"/>
      <c r="U1162" s="240"/>
      <c r="V1162" s="240"/>
      <c r="W1162" s="240"/>
      <c r="X1162" s="240"/>
      <c r="Y1162" s="240"/>
    </row>
    <row r="1163">
      <c r="A1163" s="276"/>
      <c r="B1163" s="271"/>
      <c r="C1163" s="277"/>
      <c r="D1163" s="248"/>
      <c r="E1163" s="248"/>
      <c r="F1163" s="240"/>
      <c r="G1163" s="240"/>
      <c r="H1163" s="240"/>
      <c r="I1163" s="240"/>
      <c r="J1163" s="240"/>
      <c r="K1163" s="240"/>
      <c r="L1163" s="240"/>
      <c r="M1163" s="240"/>
      <c r="N1163" s="240"/>
      <c r="O1163" s="240"/>
      <c r="P1163" s="240"/>
      <c r="Q1163" s="240"/>
      <c r="R1163" s="240"/>
      <c r="S1163" s="240"/>
      <c r="T1163" s="240"/>
      <c r="U1163" s="240"/>
      <c r="V1163" s="240"/>
      <c r="W1163" s="240"/>
      <c r="X1163" s="240"/>
      <c r="Y1163" s="240"/>
    </row>
    <row r="1164">
      <c r="A1164" s="276"/>
      <c r="B1164" s="271"/>
      <c r="C1164" s="277"/>
      <c r="D1164" s="248"/>
      <c r="E1164" s="248"/>
      <c r="F1164" s="240"/>
      <c r="G1164" s="240"/>
      <c r="H1164" s="240"/>
      <c r="I1164" s="240"/>
      <c r="J1164" s="240"/>
      <c r="K1164" s="240"/>
      <c r="L1164" s="240"/>
      <c r="M1164" s="240"/>
      <c r="N1164" s="240"/>
      <c r="O1164" s="240"/>
      <c r="P1164" s="240"/>
      <c r="Q1164" s="240"/>
      <c r="R1164" s="240"/>
      <c r="S1164" s="240"/>
      <c r="T1164" s="240"/>
      <c r="U1164" s="240"/>
      <c r="V1164" s="240"/>
      <c r="W1164" s="240"/>
      <c r="X1164" s="240"/>
      <c r="Y1164" s="240"/>
    </row>
    <row r="1165">
      <c r="A1165" s="276"/>
      <c r="B1165" s="271"/>
      <c r="C1165" s="277"/>
      <c r="D1165" s="248"/>
      <c r="E1165" s="248"/>
      <c r="F1165" s="240"/>
      <c r="G1165" s="240"/>
      <c r="H1165" s="240"/>
      <c r="I1165" s="240"/>
      <c r="J1165" s="240"/>
      <c r="K1165" s="240"/>
      <c r="L1165" s="240"/>
      <c r="M1165" s="240"/>
      <c r="N1165" s="240"/>
      <c r="O1165" s="240"/>
      <c r="P1165" s="240"/>
      <c r="Q1165" s="240"/>
      <c r="R1165" s="240"/>
      <c r="S1165" s="240"/>
      <c r="T1165" s="240"/>
      <c r="U1165" s="240"/>
      <c r="V1165" s="240"/>
      <c r="W1165" s="240"/>
      <c r="X1165" s="240"/>
      <c r="Y1165" s="240"/>
    </row>
    <row r="1166">
      <c r="A1166" s="276"/>
      <c r="B1166" s="271"/>
      <c r="C1166" s="277"/>
      <c r="D1166" s="248"/>
      <c r="E1166" s="248"/>
      <c r="F1166" s="240"/>
      <c r="G1166" s="240"/>
      <c r="H1166" s="240"/>
      <c r="I1166" s="240"/>
      <c r="J1166" s="240"/>
      <c r="K1166" s="240"/>
      <c r="L1166" s="240"/>
      <c r="M1166" s="240"/>
      <c r="N1166" s="240"/>
      <c r="O1166" s="240"/>
      <c r="P1166" s="240"/>
      <c r="Q1166" s="240"/>
      <c r="R1166" s="240"/>
      <c r="S1166" s="240"/>
      <c r="T1166" s="240"/>
      <c r="U1166" s="240"/>
      <c r="V1166" s="240"/>
      <c r="W1166" s="240"/>
      <c r="X1166" s="240"/>
      <c r="Y1166" s="240"/>
    </row>
    <row r="1167">
      <c r="A1167" s="276"/>
      <c r="B1167" s="271"/>
      <c r="C1167" s="277"/>
      <c r="D1167" s="248"/>
      <c r="E1167" s="248"/>
      <c r="F1167" s="240"/>
      <c r="G1167" s="240"/>
      <c r="H1167" s="240"/>
      <c r="I1167" s="240"/>
      <c r="J1167" s="240"/>
      <c r="K1167" s="240"/>
      <c r="L1167" s="240"/>
      <c r="M1167" s="240"/>
      <c r="N1167" s="240"/>
      <c r="O1167" s="240"/>
      <c r="P1167" s="240"/>
      <c r="Q1167" s="240"/>
      <c r="R1167" s="240"/>
      <c r="S1167" s="240"/>
      <c r="T1167" s="240"/>
      <c r="U1167" s="240"/>
      <c r="V1167" s="240"/>
      <c r="W1167" s="240"/>
      <c r="X1167" s="240"/>
      <c r="Y1167" s="240"/>
    </row>
    <row r="1168">
      <c r="A1168" s="276"/>
      <c r="B1168" s="271"/>
      <c r="C1168" s="277"/>
      <c r="D1168" s="248"/>
      <c r="E1168" s="248"/>
      <c r="F1168" s="240"/>
      <c r="G1168" s="240"/>
      <c r="H1168" s="240"/>
      <c r="I1168" s="240"/>
      <c r="J1168" s="240"/>
      <c r="K1168" s="240"/>
      <c r="L1168" s="240"/>
      <c r="M1168" s="240"/>
      <c r="N1168" s="240"/>
      <c r="O1168" s="240"/>
      <c r="P1168" s="240"/>
      <c r="Q1168" s="240"/>
      <c r="R1168" s="240"/>
      <c r="S1168" s="240"/>
      <c r="T1168" s="240"/>
      <c r="U1168" s="240"/>
      <c r="V1168" s="240"/>
      <c r="W1168" s="240"/>
      <c r="X1168" s="240"/>
      <c r="Y1168" s="240"/>
    </row>
    <row r="1169">
      <c r="A1169" s="276"/>
      <c r="B1169" s="271"/>
      <c r="C1169" s="277"/>
      <c r="D1169" s="248"/>
      <c r="E1169" s="248"/>
      <c r="F1169" s="240"/>
      <c r="G1169" s="240"/>
      <c r="H1169" s="240"/>
      <c r="I1169" s="240"/>
      <c r="J1169" s="240"/>
      <c r="K1169" s="240"/>
      <c r="L1169" s="240"/>
      <c r="M1169" s="240"/>
      <c r="N1169" s="240"/>
      <c r="O1169" s="240"/>
      <c r="P1169" s="240"/>
      <c r="Q1169" s="240"/>
      <c r="R1169" s="240"/>
      <c r="S1169" s="240"/>
      <c r="T1169" s="240"/>
      <c r="U1169" s="240"/>
      <c r="V1169" s="240"/>
      <c r="W1169" s="240"/>
      <c r="X1169" s="240"/>
      <c r="Y1169" s="240"/>
    </row>
    <row r="1170">
      <c r="A1170" s="276"/>
      <c r="B1170" s="271"/>
      <c r="C1170" s="277"/>
      <c r="D1170" s="248"/>
      <c r="E1170" s="248"/>
      <c r="F1170" s="240"/>
      <c r="G1170" s="240"/>
      <c r="H1170" s="240"/>
      <c r="I1170" s="240"/>
      <c r="J1170" s="240"/>
      <c r="K1170" s="240"/>
      <c r="L1170" s="240"/>
      <c r="M1170" s="240"/>
      <c r="N1170" s="240"/>
      <c r="O1170" s="240"/>
      <c r="P1170" s="240"/>
      <c r="Q1170" s="240"/>
      <c r="R1170" s="240"/>
      <c r="S1170" s="240"/>
      <c r="T1170" s="240"/>
      <c r="U1170" s="240"/>
      <c r="V1170" s="240"/>
      <c r="W1170" s="240"/>
      <c r="X1170" s="240"/>
      <c r="Y1170" s="240"/>
    </row>
    <row r="1171">
      <c r="A1171" s="276"/>
      <c r="B1171" s="271"/>
      <c r="C1171" s="277"/>
      <c r="D1171" s="248"/>
      <c r="E1171" s="248"/>
      <c r="F1171" s="240"/>
      <c r="G1171" s="240"/>
      <c r="H1171" s="240"/>
      <c r="I1171" s="240"/>
      <c r="J1171" s="240"/>
      <c r="K1171" s="240"/>
      <c r="L1171" s="240"/>
      <c r="M1171" s="240"/>
      <c r="N1171" s="240"/>
      <c r="O1171" s="240"/>
      <c r="P1171" s="240"/>
      <c r="Q1171" s="240"/>
      <c r="R1171" s="240"/>
      <c r="S1171" s="240"/>
      <c r="T1171" s="240"/>
      <c r="U1171" s="240"/>
      <c r="V1171" s="240"/>
      <c r="W1171" s="240"/>
      <c r="X1171" s="240"/>
      <c r="Y1171" s="240"/>
    </row>
    <row r="1172">
      <c r="A1172" s="276"/>
      <c r="B1172" s="271"/>
      <c r="C1172" s="277"/>
      <c r="D1172" s="248"/>
      <c r="E1172" s="248"/>
      <c r="F1172" s="240"/>
      <c r="G1172" s="240"/>
      <c r="H1172" s="240"/>
      <c r="I1172" s="240"/>
      <c r="J1172" s="240"/>
      <c r="K1172" s="240"/>
      <c r="L1172" s="240"/>
      <c r="M1172" s="240"/>
      <c r="N1172" s="240"/>
      <c r="O1172" s="240"/>
      <c r="P1172" s="240"/>
      <c r="Q1172" s="240"/>
      <c r="R1172" s="240"/>
      <c r="S1172" s="240"/>
      <c r="T1172" s="240"/>
      <c r="U1172" s="240"/>
      <c r="V1172" s="240"/>
      <c r="W1172" s="240"/>
      <c r="X1172" s="240"/>
      <c r="Y1172" s="240"/>
    </row>
    <row r="1173">
      <c r="A1173" s="276"/>
      <c r="B1173" s="271"/>
      <c r="C1173" s="277"/>
      <c r="D1173" s="248"/>
      <c r="E1173" s="248"/>
      <c r="F1173" s="240"/>
      <c r="G1173" s="240"/>
      <c r="H1173" s="240"/>
      <c r="I1173" s="240"/>
      <c r="J1173" s="240"/>
      <c r="K1173" s="240"/>
      <c r="L1173" s="240"/>
      <c r="M1173" s="240"/>
      <c r="N1173" s="240"/>
      <c r="O1173" s="240"/>
      <c r="P1173" s="240"/>
      <c r="Q1173" s="240"/>
      <c r="R1173" s="240"/>
      <c r="S1173" s="240"/>
      <c r="T1173" s="240"/>
      <c r="U1173" s="240"/>
      <c r="V1173" s="240"/>
      <c r="W1173" s="240"/>
      <c r="X1173" s="240"/>
      <c r="Y1173" s="240"/>
    </row>
    <row r="1174">
      <c r="A1174" s="276"/>
      <c r="B1174" s="271"/>
      <c r="C1174" s="277"/>
      <c r="D1174" s="248"/>
      <c r="E1174" s="248"/>
      <c r="F1174" s="240"/>
      <c r="G1174" s="240"/>
      <c r="H1174" s="240"/>
      <c r="I1174" s="240"/>
      <c r="J1174" s="240"/>
      <c r="K1174" s="240"/>
      <c r="L1174" s="240"/>
      <c r="M1174" s="240"/>
      <c r="N1174" s="240"/>
      <c r="O1174" s="240"/>
      <c r="P1174" s="240"/>
      <c r="Q1174" s="240"/>
      <c r="R1174" s="240"/>
      <c r="S1174" s="240"/>
      <c r="T1174" s="240"/>
      <c r="U1174" s="240"/>
      <c r="V1174" s="240"/>
      <c r="W1174" s="240"/>
      <c r="X1174" s="240"/>
      <c r="Y1174" s="240"/>
    </row>
    <row r="1175">
      <c r="A1175" s="276"/>
      <c r="B1175" s="271"/>
      <c r="C1175" s="277"/>
      <c r="D1175" s="248"/>
      <c r="E1175" s="248"/>
      <c r="F1175" s="240"/>
      <c r="G1175" s="240"/>
      <c r="H1175" s="240"/>
      <c r="I1175" s="240"/>
      <c r="J1175" s="240"/>
      <c r="K1175" s="240"/>
      <c r="L1175" s="240"/>
      <c r="M1175" s="240"/>
      <c r="N1175" s="240"/>
      <c r="O1175" s="240"/>
      <c r="P1175" s="240"/>
      <c r="Q1175" s="240"/>
      <c r="R1175" s="240"/>
      <c r="S1175" s="240"/>
      <c r="T1175" s="240"/>
      <c r="U1175" s="240"/>
      <c r="V1175" s="240"/>
      <c r="W1175" s="240"/>
      <c r="X1175" s="240"/>
      <c r="Y1175" s="240"/>
    </row>
    <row r="1176">
      <c r="A1176" s="276"/>
      <c r="B1176" s="271"/>
      <c r="C1176" s="277"/>
      <c r="D1176" s="248"/>
      <c r="E1176" s="248"/>
      <c r="F1176" s="240"/>
      <c r="G1176" s="240"/>
      <c r="H1176" s="240"/>
      <c r="I1176" s="240"/>
      <c r="J1176" s="240"/>
      <c r="K1176" s="240"/>
      <c r="L1176" s="240"/>
      <c r="M1176" s="240"/>
      <c r="N1176" s="240"/>
      <c r="O1176" s="240"/>
      <c r="P1176" s="240"/>
      <c r="Q1176" s="240"/>
      <c r="R1176" s="240"/>
      <c r="S1176" s="240"/>
      <c r="T1176" s="240"/>
      <c r="U1176" s="240"/>
      <c r="V1176" s="240"/>
      <c r="W1176" s="240"/>
      <c r="X1176" s="240"/>
      <c r="Y1176" s="240"/>
    </row>
    <row r="1177">
      <c r="A1177" s="276"/>
      <c r="B1177" s="271"/>
      <c r="C1177" s="277"/>
      <c r="D1177" s="248"/>
      <c r="E1177" s="248"/>
      <c r="F1177" s="240"/>
      <c r="G1177" s="240"/>
      <c r="H1177" s="240"/>
      <c r="I1177" s="240"/>
      <c r="J1177" s="240"/>
      <c r="K1177" s="240"/>
      <c r="L1177" s="240"/>
      <c r="M1177" s="240"/>
      <c r="N1177" s="240"/>
      <c r="O1177" s="240"/>
      <c r="P1177" s="240"/>
      <c r="Q1177" s="240"/>
      <c r="R1177" s="240"/>
      <c r="S1177" s="240"/>
      <c r="T1177" s="240"/>
      <c r="U1177" s="240"/>
      <c r="V1177" s="240"/>
      <c r="W1177" s="240"/>
      <c r="X1177" s="240"/>
      <c r="Y1177" s="240"/>
    </row>
    <row r="1178">
      <c r="A1178" s="276"/>
      <c r="B1178" s="271"/>
      <c r="C1178" s="277"/>
      <c r="D1178" s="248"/>
      <c r="E1178" s="248"/>
      <c r="F1178" s="240"/>
      <c r="G1178" s="240"/>
      <c r="H1178" s="240"/>
      <c r="I1178" s="240"/>
      <c r="J1178" s="240"/>
      <c r="K1178" s="240"/>
      <c r="L1178" s="240"/>
      <c r="M1178" s="240"/>
      <c r="N1178" s="240"/>
      <c r="O1178" s="240"/>
      <c r="P1178" s="240"/>
      <c r="Q1178" s="240"/>
      <c r="R1178" s="240"/>
      <c r="S1178" s="240"/>
      <c r="T1178" s="240"/>
      <c r="U1178" s="240"/>
      <c r="V1178" s="240"/>
      <c r="W1178" s="240"/>
      <c r="X1178" s="240"/>
      <c r="Y1178" s="240"/>
    </row>
    <row r="1179">
      <c r="A1179" s="276"/>
      <c r="B1179" s="271"/>
      <c r="C1179" s="277"/>
      <c r="D1179" s="248"/>
      <c r="E1179" s="248"/>
      <c r="F1179" s="240"/>
      <c r="G1179" s="240"/>
      <c r="H1179" s="240"/>
      <c r="I1179" s="240"/>
      <c r="J1179" s="240"/>
      <c r="K1179" s="240"/>
      <c r="L1179" s="240"/>
      <c r="M1179" s="240"/>
      <c r="N1179" s="240"/>
      <c r="O1179" s="240"/>
      <c r="P1179" s="240"/>
      <c r="Q1179" s="240"/>
      <c r="R1179" s="240"/>
      <c r="S1179" s="240"/>
      <c r="T1179" s="240"/>
      <c r="U1179" s="240"/>
      <c r="V1179" s="240"/>
      <c r="W1179" s="240"/>
      <c r="X1179" s="240"/>
      <c r="Y1179" s="240"/>
    </row>
    <row r="1180">
      <c r="A1180" s="276"/>
      <c r="B1180" s="271"/>
      <c r="C1180" s="277"/>
      <c r="D1180" s="248"/>
      <c r="E1180" s="248"/>
      <c r="F1180" s="240"/>
      <c r="G1180" s="240"/>
      <c r="H1180" s="240"/>
      <c r="I1180" s="240"/>
      <c r="J1180" s="240"/>
      <c r="K1180" s="240"/>
      <c r="L1180" s="240"/>
      <c r="M1180" s="240"/>
      <c r="N1180" s="240"/>
      <c r="O1180" s="240"/>
      <c r="P1180" s="240"/>
      <c r="Q1180" s="240"/>
      <c r="R1180" s="240"/>
      <c r="S1180" s="240"/>
      <c r="T1180" s="240"/>
      <c r="U1180" s="240"/>
      <c r="V1180" s="240"/>
      <c r="W1180" s="240"/>
      <c r="X1180" s="240"/>
      <c r="Y1180" s="240"/>
    </row>
    <row r="1181">
      <c r="A1181" s="276"/>
      <c r="B1181" s="271"/>
      <c r="C1181" s="277"/>
      <c r="D1181" s="248"/>
      <c r="E1181" s="248"/>
      <c r="F1181" s="240"/>
      <c r="G1181" s="240"/>
      <c r="H1181" s="240"/>
      <c r="I1181" s="240"/>
      <c r="J1181" s="240"/>
      <c r="K1181" s="240"/>
      <c r="L1181" s="240"/>
      <c r="M1181" s="240"/>
      <c r="N1181" s="240"/>
      <c r="O1181" s="240"/>
      <c r="P1181" s="240"/>
      <c r="Q1181" s="240"/>
      <c r="R1181" s="240"/>
      <c r="S1181" s="240"/>
      <c r="T1181" s="240"/>
      <c r="U1181" s="240"/>
      <c r="V1181" s="240"/>
      <c r="W1181" s="240"/>
      <c r="X1181" s="240"/>
      <c r="Y1181" s="240"/>
    </row>
    <row r="1182">
      <c r="A1182" s="276"/>
      <c r="B1182" s="271"/>
      <c r="C1182" s="277"/>
      <c r="D1182" s="248"/>
      <c r="E1182" s="248"/>
      <c r="F1182" s="240"/>
      <c r="G1182" s="240"/>
      <c r="H1182" s="240"/>
      <c r="I1182" s="240"/>
      <c r="J1182" s="240"/>
      <c r="K1182" s="240"/>
      <c r="L1182" s="240"/>
      <c r="M1182" s="240"/>
      <c r="N1182" s="240"/>
      <c r="O1182" s="240"/>
      <c r="P1182" s="240"/>
      <c r="Q1182" s="240"/>
      <c r="R1182" s="240"/>
      <c r="S1182" s="240"/>
      <c r="T1182" s="240"/>
      <c r="U1182" s="240"/>
      <c r="V1182" s="240"/>
      <c r="W1182" s="240"/>
      <c r="X1182" s="240"/>
      <c r="Y1182" s="240"/>
    </row>
    <row r="1183">
      <c r="A1183" s="276"/>
      <c r="B1183" s="271"/>
      <c r="C1183" s="277"/>
      <c r="D1183" s="248"/>
      <c r="E1183" s="248"/>
      <c r="F1183" s="240"/>
      <c r="G1183" s="240"/>
      <c r="H1183" s="240"/>
      <c r="I1183" s="240"/>
      <c r="J1183" s="240"/>
      <c r="K1183" s="240"/>
      <c r="L1183" s="240"/>
      <c r="M1183" s="240"/>
      <c r="N1183" s="240"/>
      <c r="O1183" s="240"/>
      <c r="P1183" s="240"/>
      <c r="Q1183" s="240"/>
      <c r="R1183" s="240"/>
      <c r="S1183" s="240"/>
      <c r="T1183" s="240"/>
      <c r="U1183" s="240"/>
      <c r="V1183" s="240"/>
      <c r="W1183" s="240"/>
      <c r="X1183" s="240"/>
      <c r="Y1183" s="240"/>
    </row>
    <row r="1184">
      <c r="A1184" s="276"/>
      <c r="B1184" s="271"/>
      <c r="C1184" s="277"/>
      <c r="D1184" s="248"/>
      <c r="E1184" s="248"/>
      <c r="F1184" s="240"/>
      <c r="G1184" s="240"/>
      <c r="H1184" s="240"/>
      <c r="I1184" s="240"/>
      <c r="J1184" s="240"/>
      <c r="K1184" s="240"/>
      <c r="L1184" s="240"/>
      <c r="M1184" s="240"/>
      <c r="N1184" s="240"/>
      <c r="O1184" s="240"/>
      <c r="P1184" s="240"/>
      <c r="Q1184" s="240"/>
      <c r="R1184" s="240"/>
      <c r="S1184" s="240"/>
      <c r="T1184" s="240"/>
      <c r="U1184" s="240"/>
      <c r="V1184" s="240"/>
      <c r="W1184" s="240"/>
      <c r="X1184" s="240"/>
      <c r="Y1184" s="240"/>
    </row>
    <row r="1185">
      <c r="A1185" s="276"/>
      <c r="B1185" s="271"/>
      <c r="C1185" s="277"/>
      <c r="D1185" s="248"/>
      <c r="E1185" s="248"/>
      <c r="F1185" s="240"/>
      <c r="G1185" s="240"/>
      <c r="H1185" s="240"/>
      <c r="I1185" s="240"/>
      <c r="J1185" s="240"/>
      <c r="K1185" s="240"/>
      <c r="L1185" s="240"/>
      <c r="M1185" s="240"/>
      <c r="N1185" s="240"/>
      <c r="O1185" s="240"/>
      <c r="P1185" s="240"/>
      <c r="Q1185" s="240"/>
      <c r="R1185" s="240"/>
      <c r="S1185" s="240"/>
      <c r="T1185" s="240"/>
      <c r="U1185" s="240"/>
      <c r="V1185" s="240"/>
      <c r="W1185" s="240"/>
      <c r="X1185" s="240"/>
      <c r="Y1185" s="240"/>
    </row>
    <row r="1186">
      <c r="A1186" s="276"/>
      <c r="B1186" s="271"/>
      <c r="C1186" s="277"/>
      <c r="D1186" s="248"/>
      <c r="E1186" s="248"/>
      <c r="F1186" s="240"/>
      <c r="G1186" s="240"/>
      <c r="H1186" s="240"/>
      <c r="I1186" s="240"/>
      <c r="J1186" s="240"/>
      <c r="K1186" s="240"/>
      <c r="L1186" s="240"/>
      <c r="M1186" s="240"/>
      <c r="N1186" s="240"/>
      <c r="O1186" s="240"/>
      <c r="P1186" s="240"/>
      <c r="Q1186" s="240"/>
      <c r="R1186" s="240"/>
      <c r="S1186" s="240"/>
      <c r="T1186" s="240"/>
      <c r="U1186" s="240"/>
      <c r="V1186" s="240"/>
      <c r="W1186" s="240"/>
      <c r="X1186" s="240"/>
      <c r="Y1186" s="240"/>
    </row>
    <row r="1187">
      <c r="A1187" s="276"/>
      <c r="B1187" s="271"/>
      <c r="C1187" s="277"/>
      <c r="D1187" s="248"/>
      <c r="E1187" s="248"/>
      <c r="F1187" s="240"/>
      <c r="G1187" s="240"/>
      <c r="H1187" s="240"/>
      <c r="I1187" s="240"/>
      <c r="J1187" s="240"/>
      <c r="K1187" s="240"/>
      <c r="L1187" s="240"/>
      <c r="M1187" s="240"/>
      <c r="N1187" s="240"/>
      <c r="O1187" s="240"/>
      <c r="P1187" s="240"/>
      <c r="Q1187" s="240"/>
      <c r="R1187" s="240"/>
      <c r="S1187" s="240"/>
      <c r="T1187" s="240"/>
      <c r="U1187" s="240"/>
      <c r="V1187" s="240"/>
      <c r="W1187" s="240"/>
      <c r="X1187" s="240"/>
      <c r="Y1187" s="240"/>
    </row>
    <row r="1188">
      <c r="A1188" s="276"/>
      <c r="B1188" s="271"/>
      <c r="C1188" s="277"/>
      <c r="D1188" s="248"/>
      <c r="E1188" s="248"/>
      <c r="F1188" s="240"/>
      <c r="G1188" s="240"/>
      <c r="H1188" s="240"/>
      <c r="I1188" s="240"/>
      <c r="J1188" s="240"/>
      <c r="K1188" s="240"/>
      <c r="L1188" s="240"/>
      <c r="M1188" s="240"/>
      <c r="N1188" s="240"/>
      <c r="O1188" s="240"/>
      <c r="P1188" s="240"/>
      <c r="Q1188" s="240"/>
      <c r="R1188" s="240"/>
      <c r="S1188" s="240"/>
      <c r="T1188" s="240"/>
      <c r="U1188" s="240"/>
      <c r="V1188" s="240"/>
      <c r="W1188" s="240"/>
      <c r="X1188" s="240"/>
      <c r="Y1188" s="240"/>
    </row>
    <row r="1189">
      <c r="A1189" s="276"/>
      <c r="B1189" s="271"/>
      <c r="C1189" s="277"/>
      <c r="D1189" s="248"/>
      <c r="E1189" s="248"/>
      <c r="F1189" s="240"/>
      <c r="G1189" s="240"/>
      <c r="H1189" s="240"/>
      <c r="I1189" s="240"/>
      <c r="J1189" s="240"/>
      <c r="K1189" s="240"/>
      <c r="L1189" s="240"/>
      <c r="M1189" s="240"/>
      <c r="N1189" s="240"/>
      <c r="O1189" s="240"/>
      <c r="P1189" s="240"/>
      <c r="Q1189" s="240"/>
      <c r="R1189" s="240"/>
      <c r="S1189" s="240"/>
      <c r="T1189" s="240"/>
      <c r="U1189" s="240"/>
      <c r="V1189" s="240"/>
      <c r="W1189" s="240"/>
      <c r="X1189" s="240"/>
      <c r="Y1189" s="240"/>
    </row>
    <row r="1190">
      <c r="A1190" s="276"/>
      <c r="B1190" s="271"/>
      <c r="C1190" s="277"/>
      <c r="D1190" s="248"/>
      <c r="E1190" s="248"/>
      <c r="F1190" s="240"/>
      <c r="G1190" s="240"/>
      <c r="H1190" s="240"/>
      <c r="I1190" s="240"/>
      <c r="J1190" s="240"/>
      <c r="K1190" s="240"/>
      <c r="L1190" s="240"/>
      <c r="M1190" s="240"/>
      <c r="N1190" s="240"/>
      <c r="O1190" s="240"/>
      <c r="P1190" s="240"/>
      <c r="Q1190" s="240"/>
      <c r="R1190" s="240"/>
      <c r="S1190" s="240"/>
      <c r="T1190" s="240"/>
      <c r="U1190" s="240"/>
      <c r="V1190" s="240"/>
      <c r="W1190" s="240"/>
      <c r="X1190" s="240"/>
      <c r="Y1190" s="240"/>
    </row>
    <row r="1191">
      <c r="A1191" s="276"/>
      <c r="B1191" s="271"/>
      <c r="C1191" s="277"/>
      <c r="D1191" s="248"/>
      <c r="E1191" s="248"/>
      <c r="F1191" s="240"/>
      <c r="G1191" s="240"/>
      <c r="H1191" s="240"/>
      <c r="I1191" s="240"/>
      <c r="J1191" s="240"/>
      <c r="K1191" s="240"/>
      <c r="L1191" s="240"/>
      <c r="M1191" s="240"/>
      <c r="N1191" s="240"/>
      <c r="O1191" s="240"/>
      <c r="P1191" s="240"/>
      <c r="Q1191" s="240"/>
      <c r="R1191" s="240"/>
      <c r="S1191" s="240"/>
      <c r="T1191" s="240"/>
      <c r="U1191" s="240"/>
      <c r="V1191" s="240"/>
      <c r="W1191" s="240"/>
      <c r="X1191" s="240"/>
      <c r="Y1191" s="240"/>
    </row>
    <row r="1192">
      <c r="A1192" s="276"/>
      <c r="B1192" s="271"/>
      <c r="C1192" s="277"/>
      <c r="D1192" s="248"/>
      <c r="E1192" s="248"/>
      <c r="F1192" s="240"/>
      <c r="G1192" s="240"/>
      <c r="H1192" s="240"/>
      <c r="I1192" s="240"/>
      <c r="J1192" s="240"/>
      <c r="K1192" s="240"/>
      <c r="L1192" s="240"/>
      <c r="M1192" s="240"/>
      <c r="N1192" s="240"/>
      <c r="O1192" s="240"/>
      <c r="P1192" s="240"/>
      <c r="Q1192" s="240"/>
      <c r="R1192" s="240"/>
      <c r="S1192" s="240"/>
      <c r="T1192" s="240"/>
      <c r="U1192" s="240"/>
      <c r="V1192" s="240"/>
      <c r="W1192" s="240"/>
      <c r="X1192" s="240"/>
      <c r="Y1192" s="240"/>
    </row>
    <row r="1193">
      <c r="A1193" s="276"/>
      <c r="B1193" s="271"/>
      <c r="C1193" s="277"/>
      <c r="D1193" s="248"/>
      <c r="E1193" s="248"/>
      <c r="F1193" s="240"/>
      <c r="G1193" s="240"/>
      <c r="H1193" s="240"/>
      <c r="I1193" s="240"/>
      <c r="J1193" s="240"/>
      <c r="K1193" s="240"/>
      <c r="L1193" s="240"/>
      <c r="M1193" s="240"/>
      <c r="N1193" s="240"/>
      <c r="O1193" s="240"/>
      <c r="P1193" s="240"/>
      <c r="Q1193" s="240"/>
      <c r="R1193" s="240"/>
      <c r="S1193" s="240"/>
      <c r="T1193" s="240"/>
      <c r="U1193" s="240"/>
      <c r="V1193" s="240"/>
      <c r="W1193" s="240"/>
      <c r="X1193" s="240"/>
      <c r="Y1193" s="240"/>
    </row>
    <row r="1194">
      <c r="A1194" s="276"/>
      <c r="B1194" s="271"/>
      <c r="C1194" s="277"/>
      <c r="D1194" s="248"/>
      <c r="E1194" s="248"/>
      <c r="F1194" s="240"/>
      <c r="G1194" s="240"/>
      <c r="H1194" s="240"/>
      <c r="I1194" s="240"/>
      <c r="J1194" s="240"/>
      <c r="K1194" s="240"/>
      <c r="L1194" s="240"/>
      <c r="M1194" s="240"/>
      <c r="N1194" s="240"/>
      <c r="O1194" s="240"/>
      <c r="P1194" s="240"/>
      <c r="Q1194" s="240"/>
      <c r="R1194" s="240"/>
      <c r="S1194" s="240"/>
      <c r="T1194" s="240"/>
      <c r="U1194" s="240"/>
      <c r="V1194" s="240"/>
      <c r="W1194" s="240"/>
      <c r="X1194" s="240"/>
      <c r="Y1194" s="240"/>
    </row>
    <row r="1195">
      <c r="A1195" s="276"/>
      <c r="B1195" s="271"/>
      <c r="C1195" s="277"/>
      <c r="D1195" s="248"/>
      <c r="E1195" s="248"/>
      <c r="F1195" s="240"/>
      <c r="G1195" s="240"/>
      <c r="H1195" s="240"/>
      <c r="I1195" s="240"/>
      <c r="J1195" s="240"/>
      <c r="K1195" s="240"/>
      <c r="L1195" s="240"/>
      <c r="M1195" s="240"/>
      <c r="N1195" s="240"/>
      <c r="O1195" s="240"/>
      <c r="P1195" s="240"/>
      <c r="Q1195" s="240"/>
      <c r="R1195" s="240"/>
      <c r="S1195" s="240"/>
      <c r="T1195" s="240"/>
      <c r="U1195" s="240"/>
      <c r="V1195" s="240"/>
      <c r="W1195" s="240"/>
      <c r="X1195" s="240"/>
      <c r="Y1195" s="240"/>
    </row>
    <row r="1196">
      <c r="A1196" s="276"/>
      <c r="B1196" s="271"/>
      <c r="C1196" s="277"/>
      <c r="D1196" s="248"/>
      <c r="E1196" s="248"/>
      <c r="F1196" s="240"/>
      <c r="G1196" s="240"/>
      <c r="H1196" s="240"/>
      <c r="I1196" s="240"/>
      <c r="J1196" s="240"/>
      <c r="K1196" s="240"/>
      <c r="L1196" s="240"/>
      <c r="M1196" s="240"/>
      <c r="N1196" s="240"/>
      <c r="O1196" s="240"/>
      <c r="P1196" s="240"/>
      <c r="Q1196" s="240"/>
      <c r="R1196" s="240"/>
      <c r="S1196" s="240"/>
      <c r="T1196" s="240"/>
      <c r="U1196" s="240"/>
      <c r="V1196" s="240"/>
      <c r="W1196" s="240"/>
      <c r="X1196" s="240"/>
      <c r="Y1196" s="240"/>
    </row>
    <row r="1197">
      <c r="A1197" s="276"/>
      <c r="B1197" s="271"/>
      <c r="C1197" s="277"/>
      <c r="D1197" s="248"/>
      <c r="E1197" s="248"/>
      <c r="F1197" s="240"/>
      <c r="G1197" s="240"/>
      <c r="H1197" s="240"/>
      <c r="I1197" s="240"/>
      <c r="J1197" s="240"/>
      <c r="K1197" s="240"/>
      <c r="L1197" s="240"/>
      <c r="M1197" s="240"/>
      <c r="N1197" s="240"/>
      <c r="O1197" s="240"/>
      <c r="P1197" s="240"/>
      <c r="Q1197" s="240"/>
      <c r="R1197" s="240"/>
      <c r="S1197" s="240"/>
      <c r="T1197" s="240"/>
      <c r="U1197" s="240"/>
      <c r="V1197" s="240"/>
      <c r="W1197" s="240"/>
      <c r="X1197" s="240"/>
      <c r="Y1197" s="240"/>
    </row>
    <row r="1198">
      <c r="A1198" s="276"/>
      <c r="B1198" s="271"/>
      <c r="C1198" s="277"/>
      <c r="D1198" s="248"/>
      <c r="E1198" s="248"/>
      <c r="F1198" s="240"/>
      <c r="G1198" s="240"/>
      <c r="H1198" s="240"/>
      <c r="I1198" s="240"/>
      <c r="J1198" s="240"/>
      <c r="K1198" s="240"/>
      <c r="L1198" s="240"/>
      <c r="M1198" s="240"/>
      <c r="N1198" s="240"/>
      <c r="O1198" s="240"/>
      <c r="P1198" s="240"/>
      <c r="Q1198" s="240"/>
      <c r="R1198" s="240"/>
      <c r="S1198" s="240"/>
      <c r="T1198" s="240"/>
      <c r="U1198" s="240"/>
      <c r="V1198" s="240"/>
      <c r="W1198" s="240"/>
      <c r="X1198" s="240"/>
      <c r="Y1198" s="240"/>
    </row>
    <row r="1199">
      <c r="A1199" s="276"/>
      <c r="B1199" s="271"/>
      <c r="C1199" s="277"/>
      <c r="D1199" s="248"/>
      <c r="E1199" s="248"/>
      <c r="F1199" s="240"/>
      <c r="G1199" s="240"/>
      <c r="H1199" s="240"/>
      <c r="I1199" s="240"/>
      <c r="J1199" s="240"/>
      <c r="K1199" s="240"/>
      <c r="L1199" s="240"/>
      <c r="M1199" s="240"/>
      <c r="N1199" s="240"/>
      <c r="O1199" s="240"/>
      <c r="P1199" s="240"/>
      <c r="Q1199" s="240"/>
      <c r="R1199" s="240"/>
      <c r="S1199" s="240"/>
      <c r="T1199" s="240"/>
      <c r="U1199" s="240"/>
      <c r="V1199" s="240"/>
      <c r="W1199" s="240"/>
      <c r="X1199" s="240"/>
      <c r="Y1199" s="240"/>
    </row>
    <row r="1200">
      <c r="A1200" s="276"/>
      <c r="B1200" s="271"/>
      <c r="C1200" s="277"/>
      <c r="D1200" s="248"/>
      <c r="E1200" s="248"/>
      <c r="F1200" s="240"/>
      <c r="G1200" s="240"/>
      <c r="H1200" s="240"/>
      <c r="I1200" s="240"/>
      <c r="J1200" s="240"/>
      <c r="K1200" s="240"/>
      <c r="L1200" s="240"/>
      <c r="M1200" s="240"/>
      <c r="N1200" s="240"/>
      <c r="O1200" s="240"/>
      <c r="P1200" s="240"/>
      <c r="Q1200" s="240"/>
      <c r="R1200" s="240"/>
      <c r="S1200" s="240"/>
      <c r="T1200" s="240"/>
      <c r="U1200" s="240"/>
      <c r="V1200" s="240"/>
      <c r="W1200" s="240"/>
      <c r="X1200" s="240"/>
      <c r="Y1200" s="240"/>
    </row>
    <row r="1201">
      <c r="A1201" s="276"/>
      <c r="B1201" s="271"/>
      <c r="C1201" s="277"/>
      <c r="D1201" s="248"/>
      <c r="E1201" s="248"/>
      <c r="F1201" s="240"/>
      <c r="G1201" s="240"/>
      <c r="H1201" s="240"/>
      <c r="I1201" s="240"/>
      <c r="J1201" s="240"/>
      <c r="K1201" s="240"/>
      <c r="L1201" s="240"/>
      <c r="M1201" s="240"/>
      <c r="N1201" s="240"/>
      <c r="O1201" s="240"/>
      <c r="P1201" s="240"/>
      <c r="Q1201" s="240"/>
      <c r="R1201" s="240"/>
      <c r="S1201" s="240"/>
      <c r="T1201" s="240"/>
      <c r="U1201" s="240"/>
      <c r="V1201" s="240"/>
      <c r="W1201" s="240"/>
      <c r="X1201" s="240"/>
      <c r="Y1201" s="240"/>
    </row>
    <row r="1202">
      <c r="A1202" s="276"/>
      <c r="B1202" s="271"/>
      <c r="C1202" s="277"/>
      <c r="D1202" s="248"/>
      <c r="E1202" s="248"/>
      <c r="F1202" s="240"/>
      <c r="G1202" s="240"/>
      <c r="H1202" s="240"/>
      <c r="I1202" s="240"/>
      <c r="J1202" s="240"/>
      <c r="K1202" s="240"/>
      <c r="L1202" s="240"/>
      <c r="M1202" s="240"/>
      <c r="N1202" s="240"/>
      <c r="O1202" s="240"/>
      <c r="P1202" s="240"/>
      <c r="Q1202" s="240"/>
      <c r="R1202" s="240"/>
      <c r="S1202" s="240"/>
      <c r="T1202" s="240"/>
      <c r="U1202" s="240"/>
      <c r="V1202" s="240"/>
      <c r="W1202" s="240"/>
      <c r="X1202" s="240"/>
      <c r="Y1202" s="240"/>
    </row>
    <row r="1203">
      <c r="A1203" s="276"/>
      <c r="B1203" s="271"/>
      <c r="C1203" s="277"/>
      <c r="D1203" s="248"/>
      <c r="E1203" s="248"/>
      <c r="F1203" s="240"/>
      <c r="G1203" s="240"/>
      <c r="H1203" s="240"/>
      <c r="I1203" s="240"/>
      <c r="J1203" s="240"/>
      <c r="K1203" s="240"/>
      <c r="L1203" s="240"/>
      <c r="M1203" s="240"/>
      <c r="N1203" s="240"/>
      <c r="O1203" s="240"/>
      <c r="P1203" s="240"/>
      <c r="Q1203" s="240"/>
      <c r="R1203" s="240"/>
      <c r="S1203" s="240"/>
      <c r="T1203" s="240"/>
      <c r="U1203" s="240"/>
      <c r="V1203" s="240"/>
      <c r="W1203" s="240"/>
      <c r="X1203" s="240"/>
      <c r="Y1203" s="240"/>
    </row>
    <row r="1204">
      <c r="A1204" s="276"/>
      <c r="B1204" s="271"/>
      <c r="C1204" s="277"/>
      <c r="D1204" s="248"/>
      <c r="E1204" s="248"/>
      <c r="F1204" s="240"/>
      <c r="G1204" s="240"/>
      <c r="H1204" s="240"/>
      <c r="I1204" s="240"/>
      <c r="J1204" s="240"/>
      <c r="K1204" s="240"/>
      <c r="L1204" s="240"/>
      <c r="M1204" s="240"/>
      <c r="N1204" s="240"/>
      <c r="O1204" s="240"/>
      <c r="P1204" s="240"/>
      <c r="Q1204" s="240"/>
      <c r="R1204" s="240"/>
      <c r="S1204" s="240"/>
      <c r="T1204" s="240"/>
      <c r="U1204" s="240"/>
      <c r="V1204" s="240"/>
      <c r="W1204" s="240"/>
      <c r="X1204" s="240"/>
      <c r="Y1204" s="240"/>
    </row>
    <row r="1205">
      <c r="A1205" s="276"/>
      <c r="B1205" s="271"/>
      <c r="C1205" s="277"/>
      <c r="D1205" s="248"/>
      <c r="E1205" s="248"/>
      <c r="F1205" s="240"/>
      <c r="G1205" s="240"/>
      <c r="H1205" s="240"/>
      <c r="I1205" s="240"/>
      <c r="J1205" s="240"/>
      <c r="K1205" s="240"/>
      <c r="L1205" s="240"/>
      <c r="M1205" s="240"/>
      <c r="N1205" s="240"/>
      <c r="O1205" s="240"/>
      <c r="P1205" s="240"/>
      <c r="Q1205" s="240"/>
      <c r="R1205" s="240"/>
      <c r="S1205" s="240"/>
      <c r="T1205" s="240"/>
      <c r="U1205" s="240"/>
      <c r="V1205" s="240"/>
      <c r="W1205" s="240"/>
      <c r="X1205" s="240"/>
      <c r="Y1205" s="240"/>
    </row>
    <row r="1206">
      <c r="A1206" s="276"/>
      <c r="B1206" s="271"/>
      <c r="C1206" s="277"/>
      <c r="D1206" s="248"/>
      <c r="E1206" s="248"/>
      <c r="F1206" s="240"/>
      <c r="G1206" s="240"/>
      <c r="H1206" s="240"/>
      <c r="I1206" s="240"/>
      <c r="J1206" s="240"/>
      <c r="K1206" s="240"/>
      <c r="L1206" s="240"/>
      <c r="M1206" s="240"/>
      <c r="N1206" s="240"/>
      <c r="O1206" s="240"/>
      <c r="P1206" s="240"/>
      <c r="Q1206" s="240"/>
      <c r="R1206" s="240"/>
      <c r="S1206" s="240"/>
      <c r="T1206" s="240"/>
      <c r="U1206" s="240"/>
      <c r="V1206" s="240"/>
      <c r="W1206" s="240"/>
      <c r="X1206" s="240"/>
      <c r="Y1206" s="240"/>
    </row>
    <row r="1207">
      <c r="A1207" s="276"/>
      <c r="B1207" s="271"/>
      <c r="C1207" s="277"/>
      <c r="D1207" s="248"/>
      <c r="E1207" s="248"/>
      <c r="F1207" s="240"/>
      <c r="G1207" s="240"/>
      <c r="H1207" s="240"/>
      <c r="I1207" s="240"/>
      <c r="J1207" s="240"/>
      <c r="K1207" s="240"/>
      <c r="L1207" s="240"/>
      <c r="M1207" s="240"/>
      <c r="N1207" s="240"/>
      <c r="O1207" s="240"/>
      <c r="P1207" s="240"/>
      <c r="Q1207" s="240"/>
      <c r="R1207" s="240"/>
      <c r="S1207" s="240"/>
      <c r="T1207" s="240"/>
      <c r="U1207" s="240"/>
      <c r="V1207" s="240"/>
      <c r="W1207" s="240"/>
      <c r="X1207" s="240"/>
      <c r="Y1207" s="240"/>
    </row>
    <row r="1208">
      <c r="A1208" s="276"/>
      <c r="B1208" s="271"/>
      <c r="C1208" s="277"/>
      <c r="D1208" s="248"/>
      <c r="E1208" s="248"/>
      <c r="F1208" s="240"/>
      <c r="G1208" s="240"/>
      <c r="H1208" s="240"/>
      <c r="I1208" s="240"/>
      <c r="J1208" s="240"/>
      <c r="K1208" s="240"/>
      <c r="L1208" s="240"/>
      <c r="M1208" s="240"/>
      <c r="N1208" s="240"/>
      <c r="O1208" s="240"/>
      <c r="P1208" s="240"/>
      <c r="Q1208" s="240"/>
      <c r="R1208" s="240"/>
      <c r="S1208" s="240"/>
      <c r="T1208" s="240"/>
      <c r="U1208" s="240"/>
      <c r="V1208" s="240"/>
      <c r="W1208" s="240"/>
      <c r="X1208" s="240"/>
      <c r="Y1208" s="240"/>
    </row>
    <row r="1209">
      <c r="A1209" s="276"/>
      <c r="B1209" s="271"/>
      <c r="C1209" s="277"/>
      <c r="D1209" s="248"/>
      <c r="E1209" s="248"/>
      <c r="F1209" s="240"/>
      <c r="G1209" s="240"/>
      <c r="H1209" s="240"/>
      <c r="I1209" s="240"/>
      <c r="J1209" s="240"/>
      <c r="K1209" s="240"/>
      <c r="L1209" s="240"/>
      <c r="M1209" s="240"/>
      <c r="N1209" s="240"/>
      <c r="O1209" s="240"/>
      <c r="P1209" s="240"/>
      <c r="Q1209" s="240"/>
      <c r="R1209" s="240"/>
      <c r="S1209" s="240"/>
      <c r="T1209" s="240"/>
      <c r="U1209" s="240"/>
      <c r="V1209" s="240"/>
      <c r="W1209" s="240"/>
      <c r="X1209" s="240"/>
      <c r="Y1209" s="240"/>
    </row>
    <row r="1210">
      <c r="A1210" s="276"/>
      <c r="B1210" s="271"/>
      <c r="C1210" s="277"/>
      <c r="D1210" s="248"/>
      <c r="E1210" s="248"/>
      <c r="F1210" s="240"/>
      <c r="G1210" s="240"/>
      <c r="H1210" s="240"/>
      <c r="I1210" s="240"/>
      <c r="J1210" s="240"/>
      <c r="K1210" s="240"/>
      <c r="L1210" s="240"/>
      <c r="M1210" s="240"/>
      <c r="N1210" s="240"/>
      <c r="O1210" s="240"/>
      <c r="P1210" s="240"/>
      <c r="Q1210" s="240"/>
      <c r="R1210" s="240"/>
      <c r="S1210" s="240"/>
      <c r="T1210" s="240"/>
      <c r="U1210" s="240"/>
      <c r="V1210" s="240"/>
      <c r="W1210" s="240"/>
      <c r="X1210" s="240"/>
      <c r="Y1210" s="240"/>
    </row>
  </sheetData>
  <mergeCells count="9">
    <mergeCell ref="A189:F189"/>
    <mergeCell ref="A216:F216"/>
    <mergeCell ref="A8:F8"/>
    <mergeCell ref="A35:F35"/>
    <mergeCell ref="A57:F57"/>
    <mergeCell ref="A79:F79"/>
    <mergeCell ref="A106:F106"/>
    <mergeCell ref="A135:F135"/>
    <mergeCell ref="A161:F161"/>
  </mergeCells>
  <conditionalFormatting sqref="A36:E36">
    <cfRule type="expression" dxfId="22" priority="1">
      <formula>#REF!=TRUE</formula>
    </cfRule>
  </conditionalFormatting>
  <conditionalFormatting sqref="E36:E55 E60 A62:D62 E62:E67">
    <cfRule type="expression" dxfId="22" priority="2">
      <formula>#REF!=TRUE</formula>
    </cfRule>
  </conditionalFormatting>
  <conditionalFormatting sqref="A34 A36:A301">
    <cfRule type="expression" dxfId="22" priority="3">
      <formula>#REF!=TRUE</formula>
    </cfRule>
  </conditionalFormatting>
  <conditionalFormatting sqref="A9:F301">
    <cfRule type="expression" dxfId="22" priority="4">
      <formula>$F9=TRUE</formula>
    </cfRule>
  </conditionalFormatting>
  <dataValidations>
    <dataValidation type="list" allowBlank="1" showErrorMessage="1" sqref="E9:E33 E36:E55 E58:E77 E80:E104 E107:E133 E136:E159 E162:E187 E190:E214 E217:E246">
      <formula1>'Elenco Dip Sedi'!$K$5:$K$32</formula1>
    </dataValidation>
    <dataValidation type="custom" allowBlank="1" showDropDown="1" sqref="A43:A56 A58:A59 A61 A68:A78 A80:A104 A107:A133 A136:A159 A162:A187 A190:A214 A217:A246">
      <formula1>OR(NOT(ISERROR(DATEVALUE(A43))), AND(ISNUMBER(A43), LEFT(CELL("format", A43))="D"))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2" width="15.63"/>
    <col customWidth="1" min="3" max="3" width="16.13"/>
    <col customWidth="1" min="4" max="4" width="17.63"/>
    <col customWidth="1" min="5" max="6" width="14.88"/>
    <col customWidth="1" min="7" max="7" width="15.88"/>
    <col customWidth="1" min="8" max="9" width="14.63"/>
    <col customWidth="1" min="10" max="10" width="15.38"/>
    <col customWidth="1" min="11" max="11" width="14.13"/>
    <col customWidth="1" min="12" max="12" width="13.88"/>
    <col customWidth="1" min="13" max="13" width="14.38"/>
    <col customWidth="1" min="14" max="14" width="13.88"/>
    <col customWidth="1" min="15" max="15" width="16.25"/>
  </cols>
  <sheetData>
    <row r="1">
      <c r="A1" s="278"/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P1" s="278"/>
    </row>
    <row r="2">
      <c r="A2" s="278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P2" s="278"/>
    </row>
    <row r="3">
      <c r="A3" s="278"/>
      <c r="B3" s="279" t="s">
        <v>509</v>
      </c>
      <c r="C3" s="279" t="s">
        <v>7</v>
      </c>
      <c r="D3" s="279" t="s">
        <v>8</v>
      </c>
      <c r="E3" s="279" t="s">
        <v>9</v>
      </c>
      <c r="F3" s="279" t="s">
        <v>10</v>
      </c>
      <c r="G3" s="279" t="s">
        <v>11</v>
      </c>
      <c r="H3" s="279" t="s">
        <v>12</v>
      </c>
      <c r="I3" s="279" t="s">
        <v>13</v>
      </c>
      <c r="J3" s="279" t="s">
        <v>14</v>
      </c>
      <c r="K3" s="279" t="s">
        <v>15</v>
      </c>
      <c r="L3" s="279" t="s">
        <v>16</v>
      </c>
      <c r="M3" s="279" t="s">
        <v>17</v>
      </c>
      <c r="N3" s="278"/>
      <c r="P3" s="278"/>
    </row>
    <row r="4">
      <c r="A4" s="278"/>
      <c r="B4" s="278"/>
      <c r="C4" s="278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P4" s="278"/>
    </row>
    <row r="5">
      <c r="A5" s="279" t="s">
        <v>510</v>
      </c>
      <c r="B5" s="280">
        <v>72157.0</v>
      </c>
      <c r="C5" s="280">
        <v>70823.0</v>
      </c>
      <c r="D5" s="280">
        <v>81253.0</v>
      </c>
      <c r="E5" s="280">
        <v>74804.0</v>
      </c>
      <c r="F5" s="280">
        <v>83883.0</v>
      </c>
      <c r="G5" s="280">
        <v>72619.0</v>
      </c>
      <c r="H5" s="280">
        <v>103799.0</v>
      </c>
      <c r="I5" s="281">
        <v>4804.0</v>
      </c>
      <c r="J5" s="281">
        <v>73493.0</v>
      </c>
      <c r="K5" s="281">
        <v>66947.0</v>
      </c>
      <c r="L5" s="281">
        <v>70967.0</v>
      </c>
      <c r="M5" s="281">
        <v>37000.0</v>
      </c>
      <c r="N5" s="282"/>
      <c r="O5" s="283">
        <f>SUM(B5:N5)</f>
        <v>812549</v>
      </c>
      <c r="P5" s="278"/>
    </row>
    <row r="6">
      <c r="A6" s="284" t="s">
        <v>511</v>
      </c>
      <c r="B6" s="285">
        <v>75000.0</v>
      </c>
      <c r="C6" s="285">
        <v>75000.0</v>
      </c>
      <c r="D6" s="285">
        <v>80000.0</v>
      </c>
      <c r="E6" s="285">
        <v>80000.0</v>
      </c>
      <c r="F6" s="285">
        <v>80000.0</v>
      </c>
      <c r="G6" s="285">
        <v>80000.0</v>
      </c>
      <c r="H6" s="285">
        <v>80000.0</v>
      </c>
      <c r="I6" s="285">
        <v>50000.0</v>
      </c>
      <c r="J6" s="285">
        <v>80000.0</v>
      </c>
      <c r="K6" s="285">
        <v>75000.0</v>
      </c>
      <c r="L6" s="285">
        <v>80000.0</v>
      </c>
      <c r="M6" s="285">
        <v>65000.0</v>
      </c>
      <c r="N6" s="278"/>
      <c r="O6" s="286">
        <v>900000.0</v>
      </c>
      <c r="P6" s="278"/>
    </row>
    <row r="7">
      <c r="A7" s="278"/>
      <c r="B7" s="278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P7" s="278"/>
    </row>
    <row r="8">
      <c r="A8" s="278"/>
      <c r="B8" s="278"/>
      <c r="C8" s="278"/>
      <c r="D8" s="278"/>
      <c r="E8" s="278"/>
      <c r="F8" s="278"/>
      <c r="G8" s="278"/>
      <c r="H8" s="278"/>
      <c r="I8" s="278"/>
      <c r="J8" s="278"/>
      <c r="K8" s="278"/>
      <c r="L8" s="278"/>
      <c r="M8" s="278"/>
      <c r="N8" s="278"/>
      <c r="P8" s="278"/>
    </row>
    <row r="9">
      <c r="A9" s="287" t="s">
        <v>512</v>
      </c>
      <c r="B9" s="280">
        <v>75142.0</v>
      </c>
      <c r="C9" s="280">
        <v>77320.0</v>
      </c>
      <c r="D9" s="280">
        <v>81631.0</v>
      </c>
      <c r="E9" s="288">
        <v>83346.0</v>
      </c>
      <c r="F9" s="289">
        <v>80128.0</v>
      </c>
      <c r="G9" s="289">
        <v>78849.0</v>
      </c>
      <c r="H9" s="289"/>
      <c r="I9" s="290"/>
      <c r="J9" s="290"/>
      <c r="K9" s="290"/>
      <c r="L9" s="290"/>
      <c r="M9" s="290"/>
      <c r="N9" s="278"/>
      <c r="O9" s="282"/>
      <c r="P9" s="278"/>
    </row>
    <row r="10">
      <c r="A10" s="278"/>
      <c r="B10" s="278"/>
      <c r="C10" s="278"/>
      <c r="D10" s="278"/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P10" s="278"/>
    </row>
    <row r="11">
      <c r="A11" s="279" t="s">
        <v>513</v>
      </c>
      <c r="B11" s="291">
        <f t="shared" ref="B11:M11" si="1">(B9-B6)/B6</f>
        <v>0.001893333333</v>
      </c>
      <c r="C11" s="291">
        <f t="shared" si="1"/>
        <v>0.03093333333</v>
      </c>
      <c r="D11" s="291">
        <f t="shared" si="1"/>
        <v>0.0203875</v>
      </c>
      <c r="E11" s="291">
        <f t="shared" si="1"/>
        <v>0.041825</v>
      </c>
      <c r="F11" s="291">
        <f t="shared" si="1"/>
        <v>0.0016</v>
      </c>
      <c r="G11" s="292">
        <f t="shared" si="1"/>
        <v>-0.0143875</v>
      </c>
      <c r="H11" s="292">
        <f t="shared" si="1"/>
        <v>-1</v>
      </c>
      <c r="I11" s="292">
        <f t="shared" si="1"/>
        <v>-1</v>
      </c>
      <c r="J11" s="292">
        <f t="shared" si="1"/>
        <v>-1</v>
      </c>
      <c r="K11" s="292">
        <f t="shared" si="1"/>
        <v>-1</v>
      </c>
      <c r="L11" s="292">
        <f t="shared" si="1"/>
        <v>-1</v>
      </c>
      <c r="M11" s="292">
        <f t="shared" si="1"/>
        <v>-1</v>
      </c>
      <c r="N11" s="278"/>
      <c r="P11" s="278"/>
    </row>
    <row r="12">
      <c r="A12" s="278"/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P12" s="278"/>
    </row>
    <row r="13">
      <c r="A13" s="287" t="s">
        <v>514</v>
      </c>
      <c r="B13" s="293">
        <f t="shared" ref="B13:H13" si="2">B9-B6</f>
        <v>142</v>
      </c>
      <c r="C13" s="293">
        <f t="shared" si="2"/>
        <v>2320</v>
      </c>
      <c r="D13" s="293">
        <f t="shared" si="2"/>
        <v>1631</v>
      </c>
      <c r="E13" s="283">
        <f t="shared" si="2"/>
        <v>3346</v>
      </c>
      <c r="F13" s="283">
        <f t="shared" si="2"/>
        <v>128</v>
      </c>
      <c r="G13" s="294">
        <f t="shared" si="2"/>
        <v>-1151</v>
      </c>
      <c r="H13" s="295">
        <f t="shared" si="2"/>
        <v>-80000</v>
      </c>
      <c r="I13" s="296"/>
      <c r="J13" s="296"/>
      <c r="K13" s="296"/>
      <c r="L13" s="296"/>
      <c r="M13" s="296"/>
      <c r="N13" s="278"/>
      <c r="O13" s="296"/>
      <c r="P13" s="278"/>
    </row>
    <row r="14">
      <c r="A14" s="278"/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8"/>
      <c r="O14" s="278"/>
      <c r="P14" s="278"/>
    </row>
    <row r="15">
      <c r="A15" s="278"/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8"/>
    </row>
    <row r="16">
      <c r="A16" s="278"/>
      <c r="B16" s="278"/>
      <c r="C16" s="278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8"/>
    </row>
    <row r="17">
      <c r="A17" s="278"/>
      <c r="B17" s="278"/>
      <c r="C17" s="279" t="s">
        <v>6</v>
      </c>
      <c r="D17" s="279" t="s">
        <v>7</v>
      </c>
      <c r="E17" s="279" t="s">
        <v>8</v>
      </c>
      <c r="F17" s="279" t="s">
        <v>9</v>
      </c>
      <c r="G17" s="279" t="s">
        <v>10</v>
      </c>
      <c r="H17" s="279" t="s">
        <v>11</v>
      </c>
      <c r="I17" s="279" t="s">
        <v>12</v>
      </c>
      <c r="J17" s="279" t="s">
        <v>13</v>
      </c>
      <c r="K17" s="279" t="s">
        <v>14</v>
      </c>
      <c r="L17" s="279" t="s">
        <v>15</v>
      </c>
      <c r="M17" s="279" t="s">
        <v>16</v>
      </c>
      <c r="N17" s="279" t="s">
        <v>17</v>
      </c>
      <c r="O17" s="278"/>
      <c r="P17" s="278"/>
    </row>
    <row r="18">
      <c r="A18" s="278"/>
      <c r="B18" s="278"/>
      <c r="C18" s="278"/>
      <c r="D18" s="278"/>
      <c r="E18" s="278"/>
      <c r="F18" s="278"/>
      <c r="G18" s="278"/>
      <c r="H18" s="278"/>
      <c r="I18" s="278"/>
      <c r="J18" s="278"/>
      <c r="K18" s="278"/>
      <c r="L18" s="278"/>
      <c r="M18" s="278"/>
      <c r="N18" s="278"/>
      <c r="O18" s="278"/>
      <c r="P18" s="278"/>
    </row>
    <row r="19">
      <c r="A19" s="279" t="s">
        <v>515</v>
      </c>
      <c r="B19" s="278"/>
      <c r="C19" s="297">
        <v>75000.0</v>
      </c>
      <c r="D19" s="297">
        <v>150000.0</v>
      </c>
      <c r="E19" s="297">
        <v>230000.0</v>
      </c>
      <c r="F19" s="297">
        <v>310000.0</v>
      </c>
      <c r="G19" s="297">
        <v>390000.0</v>
      </c>
      <c r="H19" s="297">
        <v>470000.0</v>
      </c>
      <c r="I19" s="297">
        <v>550000.0</v>
      </c>
      <c r="J19" s="297">
        <v>600000.0</v>
      </c>
      <c r="K19" s="297">
        <v>680000.0</v>
      </c>
      <c r="L19" s="297">
        <v>755000.0</v>
      </c>
      <c r="M19" s="297">
        <v>835000.0</v>
      </c>
      <c r="N19" s="297">
        <v>900000.0</v>
      </c>
      <c r="O19" s="278"/>
    </row>
    <row r="20">
      <c r="A20" s="298" t="s">
        <v>516</v>
      </c>
      <c r="C20" s="297">
        <v>75142.0</v>
      </c>
      <c r="D20" s="297">
        <f>B9+C9</f>
        <v>152462</v>
      </c>
      <c r="E20" s="297">
        <f>B9+C9+D9</f>
        <v>234093</v>
      </c>
      <c r="F20" s="297">
        <f>B9+C9+D9+E9</f>
        <v>317439</v>
      </c>
      <c r="G20" s="297">
        <f>B9+C9+D9+E9+F9</f>
        <v>397567</v>
      </c>
      <c r="H20" s="299">
        <f>B9+C9+D9+E9+F9+G9</f>
        <v>476416</v>
      </c>
      <c r="I20" s="299">
        <f>B9+C9+D9+E9+F9+G9+H9</f>
        <v>476416</v>
      </c>
      <c r="J20" s="282"/>
      <c r="K20" s="282"/>
      <c r="L20" s="282"/>
      <c r="M20" s="282"/>
      <c r="N20" s="282"/>
      <c r="O20" s="278"/>
    </row>
    <row r="21">
      <c r="A21" s="279" t="s">
        <v>517</v>
      </c>
      <c r="B21" s="278"/>
      <c r="C21" s="293">
        <f t="shared" ref="C21:H21" si="3">C20-C19</f>
        <v>142</v>
      </c>
      <c r="D21" s="293">
        <f t="shared" si="3"/>
        <v>2462</v>
      </c>
      <c r="E21" s="293">
        <f t="shared" si="3"/>
        <v>4093</v>
      </c>
      <c r="F21" s="293">
        <f t="shared" si="3"/>
        <v>7439</v>
      </c>
      <c r="G21" s="300">
        <f t="shared" si="3"/>
        <v>7567</v>
      </c>
      <c r="H21" s="294">
        <f t="shared" si="3"/>
        <v>6416</v>
      </c>
      <c r="I21" s="296"/>
      <c r="J21" s="296"/>
      <c r="K21" s="296"/>
      <c r="L21" s="296"/>
      <c r="M21" s="296"/>
      <c r="N21" s="296"/>
      <c r="O21" s="278"/>
    </row>
  </sheetData>
  <mergeCells count="14">
    <mergeCell ref="N11:O11"/>
    <mergeCell ref="N12:O12"/>
    <mergeCell ref="M14:N14"/>
    <mergeCell ref="O19:P19"/>
    <mergeCell ref="A20:B20"/>
    <mergeCell ref="O20:P20"/>
    <mergeCell ref="O21:P21"/>
    <mergeCell ref="N1:O1"/>
    <mergeCell ref="N2:O2"/>
    <mergeCell ref="N3:O3"/>
    <mergeCell ref="N4:O4"/>
    <mergeCell ref="N7:O7"/>
    <mergeCell ref="N8:O8"/>
    <mergeCell ref="N10:O1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7.25"/>
    <col customWidth="1" min="3" max="3" width="18.63"/>
    <col customWidth="1" min="4" max="4" width="23.0"/>
    <col customWidth="1" hidden="1" min="5" max="5" width="5.25"/>
    <col customWidth="1" hidden="1" min="6" max="6" width="13.88"/>
    <col customWidth="1" hidden="1" min="7" max="7" width="23.25"/>
    <col customWidth="1" hidden="1" min="8" max="8" width="26.38"/>
    <col customWidth="1" min="10" max="10" width="14.75"/>
    <col customWidth="1" min="11" max="11" width="22.88"/>
    <col customWidth="1" min="13" max="13" width="17.25"/>
    <col customWidth="1" min="14" max="14" width="19.88"/>
  </cols>
  <sheetData>
    <row r="2">
      <c r="J2" s="301"/>
      <c r="K2" s="301"/>
      <c r="M2" s="301"/>
      <c r="N2" s="301"/>
    </row>
    <row r="3" ht="22.5" customHeight="1">
      <c r="B3" s="302" t="s">
        <v>67</v>
      </c>
      <c r="C3" s="1" t="s">
        <v>23</v>
      </c>
      <c r="D3" s="1" t="s">
        <v>24</v>
      </c>
      <c r="F3" s="302" t="s">
        <v>518</v>
      </c>
      <c r="G3" s="303" t="s">
        <v>21</v>
      </c>
      <c r="H3" s="303" t="s">
        <v>519</v>
      </c>
      <c r="J3" s="304" t="s">
        <v>520</v>
      </c>
      <c r="K3" s="304" t="s">
        <v>23</v>
      </c>
      <c r="M3" s="304" t="s">
        <v>521</v>
      </c>
      <c r="N3" s="304" t="s">
        <v>23</v>
      </c>
    </row>
    <row r="4" ht="22.5" customHeight="1">
      <c r="C4" s="305" t="s">
        <v>522</v>
      </c>
      <c r="D4" s="305" t="s">
        <v>523</v>
      </c>
      <c r="G4" s="305"/>
      <c r="H4" s="305"/>
      <c r="J4" s="306"/>
      <c r="K4" s="307" t="s">
        <v>524</v>
      </c>
      <c r="M4" s="306"/>
      <c r="N4" s="307" t="s">
        <v>524</v>
      </c>
    </row>
    <row r="5" ht="22.5" customHeight="1">
      <c r="C5" s="308" t="s">
        <v>49</v>
      </c>
      <c r="D5" s="309" t="s">
        <v>525</v>
      </c>
      <c r="G5" s="308"/>
      <c r="H5" s="309"/>
      <c r="J5" s="310"/>
      <c r="K5" s="311" t="s">
        <v>195</v>
      </c>
      <c r="M5" s="310"/>
      <c r="N5" s="312" t="s">
        <v>146</v>
      </c>
    </row>
    <row r="6" ht="22.5" customHeight="1">
      <c r="C6" s="313" t="s">
        <v>50</v>
      </c>
      <c r="D6" s="314" t="s">
        <v>526</v>
      </c>
      <c r="G6" s="313"/>
      <c r="H6" s="314"/>
      <c r="J6" s="306"/>
      <c r="K6" s="315" t="s">
        <v>144</v>
      </c>
      <c r="M6" s="306"/>
      <c r="N6" s="316" t="s">
        <v>527</v>
      </c>
    </row>
    <row r="7" ht="22.5" customHeight="1">
      <c r="B7" s="317"/>
      <c r="C7" s="313" t="s">
        <v>51</v>
      </c>
      <c r="D7" s="314" t="s">
        <v>528</v>
      </c>
      <c r="G7" s="313"/>
      <c r="H7" s="318"/>
      <c r="J7" s="310"/>
      <c r="K7" s="319" t="s">
        <v>183</v>
      </c>
      <c r="M7" s="310"/>
      <c r="N7" s="320" t="s">
        <v>371</v>
      </c>
    </row>
    <row r="8" ht="22.5" customHeight="1">
      <c r="C8" s="313" t="s">
        <v>52</v>
      </c>
      <c r="D8" s="314" t="s">
        <v>529</v>
      </c>
      <c r="G8" s="313"/>
      <c r="H8" s="318"/>
      <c r="J8" s="306"/>
      <c r="K8" s="315" t="s">
        <v>530</v>
      </c>
      <c r="M8" s="306"/>
      <c r="N8" s="316" t="s">
        <v>227</v>
      </c>
    </row>
    <row r="9" ht="22.5" customHeight="1">
      <c r="C9" s="313" t="s">
        <v>53</v>
      </c>
      <c r="D9" s="318"/>
      <c r="G9" s="313"/>
      <c r="H9" s="318"/>
      <c r="J9" s="310"/>
      <c r="K9" s="319" t="s">
        <v>119</v>
      </c>
      <c r="M9" s="310"/>
      <c r="N9" s="320" t="s">
        <v>128</v>
      </c>
    </row>
    <row r="10" ht="22.5" customHeight="1">
      <c r="C10" s="313" t="s">
        <v>54</v>
      </c>
      <c r="D10" s="318"/>
      <c r="G10" s="313"/>
      <c r="H10" s="318"/>
      <c r="J10" s="306"/>
      <c r="K10" s="315" t="s">
        <v>97</v>
      </c>
      <c r="M10" s="306"/>
      <c r="N10" s="316" t="s">
        <v>362</v>
      </c>
    </row>
    <row r="11" ht="22.5" customHeight="1">
      <c r="C11" s="313" t="s">
        <v>55</v>
      </c>
      <c r="D11" s="318"/>
      <c r="G11" s="313"/>
      <c r="H11" s="318"/>
      <c r="J11" s="310"/>
      <c r="K11" s="319" t="s">
        <v>531</v>
      </c>
      <c r="M11" s="310"/>
      <c r="N11" s="320" t="s">
        <v>113</v>
      </c>
    </row>
    <row r="12" ht="22.5" customHeight="1">
      <c r="C12" s="313" t="s">
        <v>56</v>
      </c>
      <c r="D12" s="318"/>
      <c r="G12" s="313"/>
      <c r="H12" s="318"/>
      <c r="J12" s="306"/>
      <c r="K12" s="315" t="s">
        <v>158</v>
      </c>
      <c r="M12" s="306"/>
      <c r="N12" s="316" t="s">
        <v>532</v>
      </c>
    </row>
    <row r="13" ht="22.5" customHeight="1">
      <c r="C13" s="313" t="s">
        <v>57</v>
      </c>
      <c r="D13" s="318"/>
      <c r="G13" s="313"/>
      <c r="H13" s="318"/>
      <c r="J13" s="310"/>
      <c r="K13" s="319" t="s">
        <v>101</v>
      </c>
      <c r="M13" s="310"/>
      <c r="N13" s="320" t="s">
        <v>533</v>
      </c>
    </row>
    <row r="14" ht="22.5" customHeight="1">
      <c r="C14" s="313" t="s">
        <v>58</v>
      </c>
      <c r="D14" s="318"/>
      <c r="G14" s="313"/>
      <c r="H14" s="318"/>
      <c r="J14" s="306"/>
      <c r="K14" s="321" t="s">
        <v>93</v>
      </c>
      <c r="M14" s="306"/>
      <c r="N14" s="321" t="s">
        <v>534</v>
      </c>
    </row>
    <row r="15" ht="22.5" customHeight="1">
      <c r="C15" s="313" t="s">
        <v>59</v>
      </c>
      <c r="D15" s="318"/>
      <c r="G15" s="322"/>
      <c r="H15" s="318"/>
      <c r="J15" s="310"/>
      <c r="K15" s="323" t="s">
        <v>535</v>
      </c>
      <c r="M15" s="310"/>
      <c r="N15" s="323" t="s">
        <v>135</v>
      </c>
    </row>
    <row r="16" ht="22.5" customHeight="1">
      <c r="C16" s="313" t="s">
        <v>398</v>
      </c>
      <c r="D16" s="318"/>
      <c r="G16" s="322"/>
      <c r="H16" s="318"/>
      <c r="J16" s="306"/>
      <c r="K16" s="324"/>
      <c r="M16" s="306"/>
      <c r="N16" s="321" t="s">
        <v>110</v>
      </c>
    </row>
    <row r="17" ht="22.5" customHeight="1">
      <c r="C17" s="322"/>
      <c r="D17" s="318"/>
      <c r="G17" s="322"/>
      <c r="H17" s="318"/>
      <c r="J17" s="310"/>
      <c r="K17" s="325"/>
      <c r="M17" s="310"/>
      <c r="N17" s="323" t="s">
        <v>123</v>
      </c>
    </row>
    <row r="18" ht="22.5" customHeight="1">
      <c r="C18" s="322"/>
      <c r="D18" s="318"/>
      <c r="G18" s="322"/>
      <c r="H18" s="318"/>
      <c r="J18" s="306"/>
      <c r="K18" s="324"/>
      <c r="M18" s="306"/>
      <c r="N18" s="321" t="s">
        <v>126</v>
      </c>
    </row>
    <row r="19" ht="22.5" customHeight="1">
      <c r="C19" s="322"/>
      <c r="D19" s="318"/>
      <c r="G19" s="322"/>
      <c r="H19" s="318"/>
      <c r="J19" s="310"/>
      <c r="K19" s="325"/>
      <c r="M19" s="310"/>
      <c r="N19" s="323" t="s">
        <v>118</v>
      </c>
    </row>
    <row r="20" ht="22.5" customHeight="1">
      <c r="C20" s="322"/>
      <c r="D20" s="318"/>
      <c r="G20" s="322"/>
      <c r="H20" s="318"/>
      <c r="J20" s="306"/>
      <c r="K20" s="324"/>
      <c r="M20" s="306"/>
      <c r="N20" s="321" t="s">
        <v>397</v>
      </c>
    </row>
    <row r="21" ht="22.5" customHeight="1">
      <c r="C21" s="322"/>
      <c r="D21" s="318"/>
      <c r="G21" s="322"/>
      <c r="H21" s="318"/>
      <c r="J21" s="310"/>
      <c r="K21" s="325"/>
      <c r="M21" s="310"/>
      <c r="N21" s="323" t="s">
        <v>432</v>
      </c>
    </row>
    <row r="22" ht="22.5" customHeight="1">
      <c r="C22" s="322"/>
      <c r="D22" s="318"/>
      <c r="G22" s="326"/>
      <c r="H22" s="327"/>
      <c r="J22" s="328"/>
      <c r="K22" s="329"/>
      <c r="M22" s="328"/>
      <c r="N22" s="330" t="s">
        <v>457</v>
      </c>
    </row>
    <row r="23" ht="22.5" customHeight="1">
      <c r="C23" s="322"/>
      <c r="D23" s="318"/>
      <c r="G23" s="326"/>
      <c r="H23" s="327"/>
      <c r="J23" s="328"/>
      <c r="K23" s="331"/>
      <c r="M23" s="328"/>
      <c r="N23" s="331"/>
    </row>
    <row r="24" ht="22.5" customHeight="1">
      <c r="C24" s="322"/>
      <c r="D24" s="318"/>
      <c r="G24" s="326"/>
      <c r="H24" s="327"/>
      <c r="J24" s="328"/>
      <c r="K24" s="331"/>
      <c r="M24" s="328"/>
      <c r="N24" s="331"/>
    </row>
    <row r="25" ht="22.5" customHeight="1">
      <c r="C25" s="322"/>
      <c r="D25" s="318"/>
      <c r="G25" s="326"/>
      <c r="H25" s="327"/>
      <c r="J25" s="328"/>
      <c r="K25" s="331"/>
      <c r="M25" s="328"/>
      <c r="N25" s="331"/>
    </row>
    <row r="26" ht="22.5" customHeight="1">
      <c r="C26" s="322"/>
      <c r="D26" s="318"/>
      <c r="G26" s="326"/>
      <c r="H26" s="327"/>
      <c r="J26" s="328"/>
      <c r="K26" s="331"/>
      <c r="M26" s="328"/>
      <c r="N26" s="331"/>
    </row>
    <row r="27" ht="22.5" customHeight="1">
      <c r="C27" s="322"/>
      <c r="D27" s="318"/>
      <c r="G27" s="326"/>
      <c r="H27" s="327"/>
      <c r="J27" s="328"/>
      <c r="K27" s="331"/>
      <c r="M27" s="328"/>
      <c r="N27" s="331"/>
    </row>
    <row r="28" ht="22.5" customHeight="1">
      <c r="C28" s="322"/>
      <c r="D28" s="318"/>
      <c r="G28" s="326"/>
      <c r="H28" s="327"/>
      <c r="J28" s="328"/>
      <c r="K28" s="331"/>
      <c r="M28" s="328"/>
      <c r="N28" s="331"/>
    </row>
    <row r="29" ht="22.5" customHeight="1">
      <c r="C29" s="322"/>
      <c r="D29" s="318"/>
      <c r="G29" s="326"/>
      <c r="H29" s="327"/>
      <c r="J29" s="328"/>
      <c r="K29" s="331"/>
      <c r="M29" s="328"/>
      <c r="N29" s="331"/>
    </row>
    <row r="30" ht="22.5" customHeight="1">
      <c r="C30" s="322"/>
      <c r="D30" s="318"/>
      <c r="G30" s="326"/>
      <c r="H30" s="327"/>
      <c r="J30" s="328"/>
      <c r="K30" s="331"/>
      <c r="M30" s="328"/>
      <c r="N30" s="331"/>
    </row>
    <row r="31" ht="22.5" customHeight="1">
      <c r="C31" s="322"/>
      <c r="D31" s="318"/>
      <c r="G31" s="326"/>
      <c r="H31" s="327"/>
      <c r="J31" s="328"/>
      <c r="K31" s="331"/>
      <c r="M31" s="328"/>
      <c r="N31" s="331"/>
    </row>
    <row r="32" ht="22.5" customHeight="1">
      <c r="C32" s="322"/>
      <c r="D32" s="318"/>
      <c r="G32" s="332"/>
      <c r="H32" s="333"/>
      <c r="J32" s="334"/>
      <c r="K32" s="335"/>
      <c r="M32" s="334"/>
      <c r="N32" s="336"/>
    </row>
    <row r="33" ht="22.5" hidden="1" customHeight="1">
      <c r="J33" s="337"/>
      <c r="K33" s="338"/>
    </row>
    <row r="34" hidden="1"/>
    <row r="35" hidden="1"/>
    <row r="37" hidden="1"/>
    <row r="38" ht="22.5" hidden="1" customHeight="1">
      <c r="B38" s="302" t="s">
        <v>518</v>
      </c>
      <c r="C38" s="303" t="s">
        <v>21</v>
      </c>
      <c r="D38" s="303" t="s">
        <v>519</v>
      </c>
      <c r="F38" s="302" t="s">
        <v>518</v>
      </c>
      <c r="G38" s="303" t="s">
        <v>21</v>
      </c>
      <c r="H38" s="303" t="s">
        <v>519</v>
      </c>
    </row>
    <row r="39" ht="22.5" hidden="1" customHeight="1">
      <c r="C39" s="339"/>
      <c r="D39" s="339"/>
      <c r="G39" s="339"/>
      <c r="H39" s="339"/>
    </row>
    <row r="40" ht="22.5" hidden="1" customHeight="1">
      <c r="C40" s="308"/>
      <c r="D40" s="309"/>
      <c r="G40" s="308"/>
      <c r="H40" s="309"/>
    </row>
    <row r="41" ht="22.5" hidden="1" customHeight="1">
      <c r="C41" s="313"/>
      <c r="D41" s="314"/>
      <c r="G41" s="313"/>
      <c r="H41" s="314"/>
    </row>
    <row r="42" ht="22.5" hidden="1" customHeight="1">
      <c r="C42" s="313"/>
      <c r="D42" s="318"/>
      <c r="G42" s="313"/>
      <c r="H42" s="314"/>
    </row>
    <row r="43" ht="22.5" hidden="1" customHeight="1">
      <c r="C43" s="313"/>
      <c r="D43" s="318"/>
      <c r="G43" s="313"/>
      <c r="H43" s="318"/>
    </row>
    <row r="44" ht="22.5" hidden="1" customHeight="1">
      <c r="C44" s="313"/>
      <c r="D44" s="318"/>
      <c r="G44" s="313"/>
      <c r="H44" s="318"/>
    </row>
    <row r="45" ht="22.5" hidden="1" customHeight="1">
      <c r="C45" s="322"/>
      <c r="D45" s="318"/>
      <c r="G45" s="313"/>
      <c r="H45" s="318"/>
    </row>
    <row r="46" ht="22.5" hidden="1" customHeight="1">
      <c r="C46" s="322"/>
      <c r="D46" s="318"/>
      <c r="G46" s="313"/>
      <c r="H46" s="318"/>
    </row>
    <row r="47" ht="22.5" hidden="1" customHeight="1">
      <c r="C47" s="322"/>
      <c r="D47" s="318"/>
      <c r="G47" s="313"/>
      <c r="H47" s="318"/>
    </row>
    <row r="48" ht="22.5" hidden="1" customHeight="1">
      <c r="C48" s="322"/>
      <c r="D48" s="318"/>
      <c r="G48" s="313"/>
      <c r="H48" s="318"/>
    </row>
    <row r="49" ht="22.5" hidden="1" customHeight="1">
      <c r="C49" s="322"/>
      <c r="D49" s="318"/>
      <c r="G49" s="313"/>
      <c r="H49" s="318"/>
    </row>
    <row r="50" ht="22.5" hidden="1" customHeight="1">
      <c r="C50" s="322"/>
      <c r="D50" s="318"/>
      <c r="G50" s="313"/>
      <c r="H50" s="318"/>
    </row>
    <row r="51" ht="22.5" hidden="1" customHeight="1">
      <c r="C51" s="322"/>
      <c r="D51" s="318"/>
      <c r="G51" s="313"/>
      <c r="H51" s="318"/>
    </row>
    <row r="52" ht="22.5" hidden="1" customHeight="1">
      <c r="C52" s="322"/>
      <c r="D52" s="318"/>
      <c r="G52" s="313"/>
      <c r="H52" s="318"/>
    </row>
    <row r="53" ht="22.5" hidden="1" customHeight="1">
      <c r="C53" s="322"/>
      <c r="D53" s="318"/>
      <c r="G53" s="313"/>
      <c r="H53" s="318"/>
    </row>
    <row r="54" ht="22.5" hidden="1" customHeight="1">
      <c r="C54" s="322"/>
      <c r="D54" s="318"/>
      <c r="G54" s="313"/>
      <c r="H54" s="318"/>
    </row>
    <row r="55" ht="22.5" hidden="1" customHeight="1">
      <c r="C55" s="322"/>
      <c r="D55" s="318"/>
      <c r="G55" s="313"/>
      <c r="H55" s="318"/>
    </row>
    <row r="56" ht="22.5" hidden="1" customHeight="1">
      <c r="C56" s="322"/>
      <c r="D56" s="318"/>
      <c r="G56" s="313"/>
      <c r="H56" s="318"/>
    </row>
    <row r="57" ht="22.5" hidden="1" customHeight="1">
      <c r="C57" s="322"/>
      <c r="D57" s="318"/>
      <c r="G57" s="313"/>
      <c r="H57" s="318"/>
    </row>
    <row r="58" ht="22.5" hidden="1" customHeight="1">
      <c r="C58" s="332"/>
      <c r="D58" s="333"/>
      <c r="G58" s="340"/>
      <c r="H58" s="333"/>
    </row>
    <row r="59" hidden="1"/>
    <row r="60">
      <c r="B60" s="341" t="s">
        <v>536</v>
      </c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  <c r="N60" s="342"/>
    </row>
  </sheetData>
  <mergeCells count="1">
    <mergeCell ref="B60:N60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